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aodong\Desktop\包税程序设计\"/>
    </mc:Choice>
  </mc:AlternateContent>
  <xr:revisionPtr revIDLastSave="0" documentId="10_ncr:100000_{F8CE1686-B11E-4A97-9DB5-25FEACB8282A}" xr6:coauthVersionLast="31" xr6:coauthVersionMax="31" xr10:uidLastSave="{00000000-0000-0000-0000-000000000000}"/>
  <bookViews>
    <workbookView xWindow="0" yWindow="0" windowWidth="28245" windowHeight="12465" xr2:uid="{00000000-000D-0000-FFFF-FFFF00000000}"/>
  </bookViews>
  <sheets>
    <sheet name="Summary" sheetId="8" r:id="rId1"/>
    <sheet name="客人原始资料" sheetId="1" r:id="rId2"/>
    <sheet name="A" sheetId="2" r:id="rId3"/>
    <sheet name="B" sheetId="3" r:id="rId4"/>
    <sheet name="C" sheetId="4" r:id="rId5"/>
    <sheet name="D" sheetId="6" r:id="rId6"/>
    <sheet name="E" sheetId="7" r:id="rId7"/>
    <sheet name="流程图" sheetId="5" r:id="rId8"/>
  </sheets>
  <definedNames>
    <definedName name="_xlnm._FilterDatabase" localSheetId="5" hidden="1">D!$A$2:$XFC$145</definedName>
  </definedNames>
  <calcPr calcId="179017"/>
</workbook>
</file>

<file path=xl/calcChain.xml><?xml version="1.0" encoding="utf-8"?>
<calcChain xmlns="http://schemas.openxmlformats.org/spreadsheetml/2006/main">
  <c r="I156" i="6" l="1"/>
  <c r="M144" i="3" l="1"/>
  <c r="L144" i="3"/>
  <c r="I165" i="7" l="1"/>
  <c r="O144" i="7"/>
  <c r="N144" i="7"/>
  <c r="L144" i="7"/>
  <c r="K144" i="7"/>
  <c r="J144" i="7"/>
  <c r="Q143" i="7"/>
  <c r="M143" i="7"/>
  <c r="Q142" i="7"/>
  <c r="M142" i="7"/>
  <c r="Q141" i="7"/>
  <c r="M141" i="7"/>
  <c r="Q140" i="7"/>
  <c r="M140" i="7"/>
  <c r="Q139" i="7"/>
  <c r="M139" i="7"/>
  <c r="Q138" i="7"/>
  <c r="M138" i="7"/>
  <c r="Q137" i="7"/>
  <c r="M137" i="7"/>
  <c r="Q136" i="7"/>
  <c r="M136" i="7"/>
  <c r="M144" i="7" s="1"/>
  <c r="Q135" i="7"/>
  <c r="Q134" i="7"/>
  <c r="Q133" i="7"/>
  <c r="Q132" i="7"/>
  <c r="Q131" i="7"/>
  <c r="Q130" i="7"/>
  <c r="Q129" i="7"/>
  <c r="Q128" i="7"/>
  <c r="Q127" i="7"/>
  <c r="Q126" i="7"/>
  <c r="Q125" i="7"/>
  <c r="Q124" i="7"/>
  <c r="Q123" i="7"/>
  <c r="Q122" i="7"/>
  <c r="Q121" i="7"/>
  <c r="Q120" i="7"/>
  <c r="Q119" i="7"/>
  <c r="Q118" i="7"/>
  <c r="Q117" i="7"/>
  <c r="Q116" i="7"/>
  <c r="Q115" i="7"/>
  <c r="Q114" i="7"/>
  <c r="Q113" i="7"/>
  <c r="Q112" i="7"/>
  <c r="Q111" i="7"/>
  <c r="Q110" i="7"/>
  <c r="Q109" i="7"/>
  <c r="Q108" i="7"/>
  <c r="Q107" i="7"/>
  <c r="Q106" i="7"/>
  <c r="Q105" i="7"/>
  <c r="Q104" i="7"/>
  <c r="Q103" i="7"/>
  <c r="Q102" i="7"/>
  <c r="Q101" i="7"/>
  <c r="Q100" i="7"/>
  <c r="Q99" i="7"/>
  <c r="Q98" i="7"/>
  <c r="Q97" i="7"/>
  <c r="Q96" i="7"/>
  <c r="Q95" i="7"/>
  <c r="Q94" i="7"/>
  <c r="Q93" i="7"/>
  <c r="Q92" i="7"/>
  <c r="Q91" i="7"/>
  <c r="Q90" i="7"/>
  <c r="Q89" i="7"/>
  <c r="Q88" i="7"/>
  <c r="Q87" i="7"/>
  <c r="Q86" i="7"/>
  <c r="Q85" i="7"/>
  <c r="Q84" i="7"/>
  <c r="Q83" i="7"/>
  <c r="Q82" i="7"/>
  <c r="Q81" i="7"/>
  <c r="Q80" i="7"/>
  <c r="Q79" i="7"/>
  <c r="Q78" i="7"/>
  <c r="Q77" i="7"/>
  <c r="Q76" i="7"/>
  <c r="Q75" i="7"/>
  <c r="Q74" i="7"/>
  <c r="Q73" i="7"/>
  <c r="Q72" i="7"/>
  <c r="Q71" i="7"/>
  <c r="Q70" i="7"/>
  <c r="Q69" i="7"/>
  <c r="Q68" i="7"/>
  <c r="Q67" i="7"/>
  <c r="Q66" i="7"/>
  <c r="Q65" i="7"/>
  <c r="Q64" i="7"/>
  <c r="Q63" i="7"/>
  <c r="Q62" i="7"/>
  <c r="Q61" i="7"/>
  <c r="Q60" i="7"/>
  <c r="Q59" i="7"/>
  <c r="Q58" i="7"/>
  <c r="Q57" i="7"/>
  <c r="Q56" i="7"/>
  <c r="Q55" i="7"/>
  <c r="Q54" i="7"/>
  <c r="Q53" i="7"/>
  <c r="Q52" i="7"/>
  <c r="Q51" i="7"/>
  <c r="Q50" i="7"/>
  <c r="Q49" i="7"/>
  <c r="Q48" i="7"/>
  <c r="Q47" i="7"/>
  <c r="Q46" i="7"/>
  <c r="Q45" i="7"/>
  <c r="Q44" i="7"/>
  <c r="Q43" i="7"/>
  <c r="Q42" i="7"/>
  <c r="Q41" i="7"/>
  <c r="Q40" i="7"/>
  <c r="Q39" i="7"/>
  <c r="Q38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Q4" i="7"/>
  <c r="Q3" i="7"/>
  <c r="Q144" i="7" s="1"/>
  <c r="J171" i="6"/>
  <c r="D169" i="6"/>
  <c r="P152" i="6"/>
  <c r="O144" i="6"/>
  <c r="N144" i="6"/>
  <c r="M144" i="6"/>
  <c r="L144" i="6"/>
  <c r="K144" i="6"/>
  <c r="J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144" i="6" s="1"/>
  <c r="M144" i="4"/>
  <c r="L144" i="4"/>
  <c r="J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R144" i="3"/>
  <c r="K144" i="3"/>
  <c r="J144" i="3"/>
  <c r="T143" i="3"/>
  <c r="Q143" i="3"/>
  <c r="P143" i="3"/>
  <c r="O143" i="3"/>
  <c r="N143" i="3"/>
  <c r="T142" i="3"/>
  <c r="Q142" i="3"/>
  <c r="P142" i="3"/>
  <c r="O142" i="3"/>
  <c r="N142" i="3"/>
  <c r="T141" i="3"/>
  <c r="Q141" i="3"/>
  <c r="P141" i="3"/>
  <c r="O141" i="3"/>
  <c r="N141" i="3"/>
  <c r="T140" i="3"/>
  <c r="Q140" i="3"/>
  <c r="P140" i="3"/>
  <c r="O140" i="3"/>
  <c r="N140" i="3"/>
  <c r="T139" i="3"/>
  <c r="Q139" i="3"/>
  <c r="P139" i="3"/>
  <c r="O139" i="3"/>
  <c r="N139" i="3"/>
  <c r="T138" i="3"/>
  <c r="Q138" i="3"/>
  <c r="P138" i="3"/>
  <c r="O138" i="3"/>
  <c r="N138" i="3"/>
  <c r="T137" i="3"/>
  <c r="Q137" i="3"/>
  <c r="P137" i="3"/>
  <c r="O137" i="3"/>
  <c r="N137" i="3"/>
  <c r="T136" i="3"/>
  <c r="Q136" i="3"/>
  <c r="P136" i="3"/>
  <c r="O136" i="3"/>
  <c r="N136" i="3"/>
  <c r="T135" i="3"/>
  <c r="Q135" i="3"/>
  <c r="P135" i="3"/>
  <c r="O135" i="3"/>
  <c r="N135" i="3"/>
  <c r="T134" i="3"/>
  <c r="Q134" i="3"/>
  <c r="P134" i="3"/>
  <c r="O134" i="3"/>
  <c r="N134" i="3"/>
  <c r="T133" i="3"/>
  <c r="Q133" i="3"/>
  <c r="P133" i="3"/>
  <c r="O133" i="3"/>
  <c r="N133" i="3"/>
  <c r="T132" i="3"/>
  <c r="Q132" i="3"/>
  <c r="P132" i="3"/>
  <c r="O132" i="3"/>
  <c r="N132" i="3"/>
  <c r="T131" i="3"/>
  <c r="Q131" i="3"/>
  <c r="P131" i="3"/>
  <c r="O131" i="3"/>
  <c r="N131" i="3"/>
  <c r="T130" i="3"/>
  <c r="Q130" i="3"/>
  <c r="P130" i="3"/>
  <c r="O130" i="3"/>
  <c r="N130" i="3"/>
  <c r="T129" i="3"/>
  <c r="Q129" i="3"/>
  <c r="P129" i="3"/>
  <c r="O129" i="3"/>
  <c r="N129" i="3"/>
  <c r="T128" i="3"/>
  <c r="Q128" i="3"/>
  <c r="P128" i="3"/>
  <c r="O128" i="3"/>
  <c r="N128" i="3"/>
  <c r="T127" i="3"/>
  <c r="Q127" i="3"/>
  <c r="P127" i="3"/>
  <c r="O127" i="3"/>
  <c r="N127" i="3"/>
  <c r="T126" i="3"/>
  <c r="Q126" i="3"/>
  <c r="P126" i="3"/>
  <c r="O126" i="3"/>
  <c r="N126" i="3"/>
  <c r="T125" i="3"/>
  <c r="Q125" i="3"/>
  <c r="P125" i="3"/>
  <c r="O125" i="3"/>
  <c r="N125" i="3"/>
  <c r="T124" i="3"/>
  <c r="Q124" i="3"/>
  <c r="P124" i="3"/>
  <c r="O124" i="3"/>
  <c r="N124" i="3"/>
  <c r="T123" i="3"/>
  <c r="Q123" i="3"/>
  <c r="P123" i="3"/>
  <c r="O123" i="3"/>
  <c r="N123" i="3"/>
  <c r="T122" i="3"/>
  <c r="Q122" i="3"/>
  <c r="P122" i="3"/>
  <c r="O122" i="3"/>
  <c r="N122" i="3"/>
  <c r="T121" i="3"/>
  <c r="Q121" i="3"/>
  <c r="P121" i="3"/>
  <c r="O121" i="3"/>
  <c r="N121" i="3"/>
  <c r="T120" i="3"/>
  <c r="Q120" i="3"/>
  <c r="P120" i="3"/>
  <c r="O120" i="3"/>
  <c r="N120" i="3"/>
  <c r="T119" i="3"/>
  <c r="Q119" i="3"/>
  <c r="P119" i="3"/>
  <c r="O119" i="3"/>
  <c r="N119" i="3"/>
  <c r="T118" i="3"/>
  <c r="Q118" i="3"/>
  <c r="P118" i="3"/>
  <c r="O118" i="3"/>
  <c r="N118" i="3"/>
  <c r="T117" i="3"/>
  <c r="Q117" i="3"/>
  <c r="P117" i="3"/>
  <c r="O117" i="3"/>
  <c r="N117" i="3"/>
  <c r="T116" i="3"/>
  <c r="Q116" i="3"/>
  <c r="P116" i="3"/>
  <c r="O116" i="3"/>
  <c r="N116" i="3"/>
  <c r="T115" i="3"/>
  <c r="Q115" i="3"/>
  <c r="P115" i="3"/>
  <c r="O115" i="3"/>
  <c r="N115" i="3"/>
  <c r="T114" i="3"/>
  <c r="Q114" i="3"/>
  <c r="P114" i="3"/>
  <c r="O114" i="3"/>
  <c r="N114" i="3"/>
  <c r="T113" i="3"/>
  <c r="Q113" i="3"/>
  <c r="P113" i="3"/>
  <c r="O113" i="3"/>
  <c r="N113" i="3"/>
  <c r="T112" i="3"/>
  <c r="Q112" i="3"/>
  <c r="P112" i="3"/>
  <c r="O112" i="3"/>
  <c r="N112" i="3"/>
  <c r="T111" i="3"/>
  <c r="Q111" i="3"/>
  <c r="P111" i="3"/>
  <c r="O111" i="3"/>
  <c r="N111" i="3"/>
  <c r="T110" i="3"/>
  <c r="Q110" i="3"/>
  <c r="P110" i="3"/>
  <c r="O110" i="3"/>
  <c r="N110" i="3"/>
  <c r="T109" i="3"/>
  <c r="Q109" i="3"/>
  <c r="P109" i="3"/>
  <c r="O109" i="3"/>
  <c r="N109" i="3"/>
  <c r="T108" i="3"/>
  <c r="Q108" i="3"/>
  <c r="P108" i="3"/>
  <c r="O108" i="3"/>
  <c r="N108" i="3"/>
  <c r="T107" i="3"/>
  <c r="Q107" i="3"/>
  <c r="P107" i="3"/>
  <c r="O107" i="3"/>
  <c r="N107" i="3"/>
  <c r="T106" i="3"/>
  <c r="Q106" i="3"/>
  <c r="P106" i="3"/>
  <c r="O106" i="3"/>
  <c r="N106" i="3"/>
  <c r="T105" i="3"/>
  <c r="Q105" i="3"/>
  <c r="P105" i="3"/>
  <c r="O105" i="3"/>
  <c r="N105" i="3"/>
  <c r="T104" i="3"/>
  <c r="Q104" i="3"/>
  <c r="P104" i="3"/>
  <c r="O104" i="3"/>
  <c r="N104" i="3"/>
  <c r="T103" i="3"/>
  <c r="Q103" i="3"/>
  <c r="P103" i="3"/>
  <c r="O103" i="3"/>
  <c r="N103" i="3"/>
  <c r="T102" i="3"/>
  <c r="Q102" i="3"/>
  <c r="P102" i="3"/>
  <c r="O102" i="3"/>
  <c r="N102" i="3"/>
  <c r="T101" i="3"/>
  <c r="Q101" i="3"/>
  <c r="P101" i="3"/>
  <c r="O101" i="3"/>
  <c r="N101" i="3"/>
  <c r="T100" i="3"/>
  <c r="Q100" i="3"/>
  <c r="P100" i="3"/>
  <c r="O100" i="3"/>
  <c r="N100" i="3"/>
  <c r="T99" i="3"/>
  <c r="Q99" i="3"/>
  <c r="P99" i="3"/>
  <c r="O99" i="3"/>
  <c r="N99" i="3"/>
  <c r="T98" i="3"/>
  <c r="Q98" i="3"/>
  <c r="P98" i="3"/>
  <c r="O98" i="3"/>
  <c r="N98" i="3"/>
  <c r="T97" i="3"/>
  <c r="Q97" i="3"/>
  <c r="P97" i="3"/>
  <c r="O97" i="3"/>
  <c r="N97" i="3"/>
  <c r="T96" i="3"/>
  <c r="Q96" i="3"/>
  <c r="P96" i="3"/>
  <c r="O96" i="3"/>
  <c r="N96" i="3"/>
  <c r="T95" i="3"/>
  <c r="Q95" i="3"/>
  <c r="P95" i="3"/>
  <c r="O95" i="3"/>
  <c r="N95" i="3"/>
  <c r="T94" i="3"/>
  <c r="Q94" i="3"/>
  <c r="P94" i="3"/>
  <c r="O94" i="3"/>
  <c r="N94" i="3"/>
  <c r="T93" i="3"/>
  <c r="Q93" i="3"/>
  <c r="P93" i="3"/>
  <c r="O93" i="3"/>
  <c r="N93" i="3"/>
  <c r="T92" i="3"/>
  <c r="Q92" i="3"/>
  <c r="P92" i="3"/>
  <c r="O92" i="3"/>
  <c r="N92" i="3"/>
  <c r="T91" i="3"/>
  <c r="Q91" i="3"/>
  <c r="P91" i="3"/>
  <c r="O91" i="3"/>
  <c r="N91" i="3"/>
  <c r="T90" i="3"/>
  <c r="Q90" i="3"/>
  <c r="P90" i="3"/>
  <c r="O90" i="3"/>
  <c r="N90" i="3"/>
  <c r="T89" i="3"/>
  <c r="Q89" i="3"/>
  <c r="P89" i="3"/>
  <c r="O89" i="3"/>
  <c r="N89" i="3"/>
  <c r="T88" i="3"/>
  <c r="Q88" i="3"/>
  <c r="P88" i="3"/>
  <c r="O88" i="3"/>
  <c r="N88" i="3"/>
  <c r="T87" i="3"/>
  <c r="Q87" i="3"/>
  <c r="P87" i="3"/>
  <c r="O87" i="3"/>
  <c r="N87" i="3"/>
  <c r="T86" i="3"/>
  <c r="Q86" i="3"/>
  <c r="P86" i="3"/>
  <c r="O86" i="3"/>
  <c r="N86" i="3"/>
  <c r="T85" i="3"/>
  <c r="Q85" i="3"/>
  <c r="P85" i="3"/>
  <c r="O85" i="3"/>
  <c r="N85" i="3"/>
  <c r="T84" i="3"/>
  <c r="Q84" i="3"/>
  <c r="P84" i="3"/>
  <c r="O84" i="3"/>
  <c r="N84" i="3"/>
  <c r="T83" i="3"/>
  <c r="Q83" i="3"/>
  <c r="P83" i="3"/>
  <c r="O83" i="3"/>
  <c r="N83" i="3"/>
  <c r="T82" i="3"/>
  <c r="Q82" i="3"/>
  <c r="P82" i="3"/>
  <c r="O82" i="3"/>
  <c r="N82" i="3"/>
  <c r="T81" i="3"/>
  <c r="Q81" i="3"/>
  <c r="P81" i="3"/>
  <c r="O81" i="3"/>
  <c r="N81" i="3"/>
  <c r="T80" i="3"/>
  <c r="Q80" i="3"/>
  <c r="P80" i="3"/>
  <c r="O80" i="3"/>
  <c r="N80" i="3"/>
  <c r="T79" i="3"/>
  <c r="Q79" i="3"/>
  <c r="P79" i="3"/>
  <c r="O79" i="3"/>
  <c r="N79" i="3"/>
  <c r="T78" i="3"/>
  <c r="Q78" i="3"/>
  <c r="P78" i="3"/>
  <c r="O78" i="3"/>
  <c r="N78" i="3"/>
  <c r="T77" i="3"/>
  <c r="Q77" i="3"/>
  <c r="P77" i="3"/>
  <c r="O77" i="3"/>
  <c r="N77" i="3"/>
  <c r="T76" i="3"/>
  <c r="Q76" i="3"/>
  <c r="P76" i="3"/>
  <c r="O76" i="3"/>
  <c r="N76" i="3"/>
  <c r="T75" i="3"/>
  <c r="Q75" i="3"/>
  <c r="P75" i="3"/>
  <c r="O75" i="3"/>
  <c r="N75" i="3"/>
  <c r="T74" i="3"/>
  <c r="Q74" i="3"/>
  <c r="P74" i="3"/>
  <c r="O74" i="3"/>
  <c r="N74" i="3"/>
  <c r="T73" i="3"/>
  <c r="Q73" i="3"/>
  <c r="P73" i="3"/>
  <c r="O73" i="3"/>
  <c r="N73" i="3"/>
  <c r="T72" i="3"/>
  <c r="Q72" i="3"/>
  <c r="P72" i="3"/>
  <c r="O72" i="3"/>
  <c r="N72" i="3"/>
  <c r="T71" i="3"/>
  <c r="Q71" i="3"/>
  <c r="P71" i="3"/>
  <c r="O71" i="3"/>
  <c r="N71" i="3"/>
  <c r="T70" i="3"/>
  <c r="Q70" i="3"/>
  <c r="P70" i="3"/>
  <c r="O70" i="3"/>
  <c r="N70" i="3"/>
  <c r="T69" i="3"/>
  <c r="Q69" i="3"/>
  <c r="P69" i="3"/>
  <c r="O69" i="3"/>
  <c r="N69" i="3"/>
  <c r="T68" i="3"/>
  <c r="Q68" i="3"/>
  <c r="P68" i="3"/>
  <c r="O68" i="3"/>
  <c r="N68" i="3"/>
  <c r="T67" i="3"/>
  <c r="Q67" i="3"/>
  <c r="P67" i="3"/>
  <c r="O67" i="3"/>
  <c r="N67" i="3"/>
  <c r="T66" i="3"/>
  <c r="Q66" i="3"/>
  <c r="P66" i="3"/>
  <c r="O66" i="3"/>
  <c r="N66" i="3"/>
  <c r="T65" i="3"/>
  <c r="Q65" i="3"/>
  <c r="P65" i="3"/>
  <c r="O65" i="3"/>
  <c r="N65" i="3"/>
  <c r="T64" i="3"/>
  <c r="Q64" i="3"/>
  <c r="P64" i="3"/>
  <c r="O64" i="3"/>
  <c r="N64" i="3"/>
  <c r="T63" i="3"/>
  <c r="Q63" i="3"/>
  <c r="P63" i="3"/>
  <c r="O63" i="3"/>
  <c r="N63" i="3"/>
  <c r="T62" i="3"/>
  <c r="Q62" i="3"/>
  <c r="P62" i="3"/>
  <c r="O62" i="3"/>
  <c r="N62" i="3"/>
  <c r="T61" i="3"/>
  <c r="Q61" i="3"/>
  <c r="P61" i="3"/>
  <c r="O61" i="3"/>
  <c r="N61" i="3"/>
  <c r="T60" i="3"/>
  <c r="Q60" i="3"/>
  <c r="P60" i="3"/>
  <c r="O60" i="3"/>
  <c r="N60" i="3"/>
  <c r="T59" i="3"/>
  <c r="Q59" i="3"/>
  <c r="P59" i="3"/>
  <c r="O59" i="3"/>
  <c r="N59" i="3"/>
  <c r="T58" i="3"/>
  <c r="Q58" i="3"/>
  <c r="P58" i="3"/>
  <c r="O58" i="3"/>
  <c r="N58" i="3"/>
  <c r="T57" i="3"/>
  <c r="Q57" i="3"/>
  <c r="P57" i="3"/>
  <c r="O57" i="3"/>
  <c r="N57" i="3"/>
  <c r="T56" i="3"/>
  <c r="Q56" i="3"/>
  <c r="P56" i="3"/>
  <c r="O56" i="3"/>
  <c r="N56" i="3"/>
  <c r="T55" i="3"/>
  <c r="Q55" i="3"/>
  <c r="P55" i="3"/>
  <c r="O55" i="3"/>
  <c r="N55" i="3"/>
  <c r="T54" i="3"/>
  <c r="Q54" i="3"/>
  <c r="P54" i="3"/>
  <c r="O54" i="3"/>
  <c r="N54" i="3"/>
  <c r="T53" i="3"/>
  <c r="Q53" i="3"/>
  <c r="P53" i="3"/>
  <c r="O53" i="3"/>
  <c r="N53" i="3"/>
  <c r="T52" i="3"/>
  <c r="Q52" i="3"/>
  <c r="P52" i="3"/>
  <c r="O52" i="3"/>
  <c r="N52" i="3"/>
  <c r="T51" i="3"/>
  <c r="Q51" i="3"/>
  <c r="P51" i="3"/>
  <c r="O51" i="3"/>
  <c r="N51" i="3"/>
  <c r="T50" i="3"/>
  <c r="Q50" i="3"/>
  <c r="P50" i="3"/>
  <c r="O50" i="3"/>
  <c r="N50" i="3"/>
  <c r="T49" i="3"/>
  <c r="Q49" i="3"/>
  <c r="P49" i="3"/>
  <c r="O49" i="3"/>
  <c r="N49" i="3"/>
  <c r="T48" i="3"/>
  <c r="Q48" i="3"/>
  <c r="P48" i="3"/>
  <c r="O48" i="3"/>
  <c r="N48" i="3"/>
  <c r="T47" i="3"/>
  <c r="Q47" i="3"/>
  <c r="P47" i="3"/>
  <c r="O47" i="3"/>
  <c r="N47" i="3"/>
  <c r="T46" i="3"/>
  <c r="Q46" i="3"/>
  <c r="P46" i="3"/>
  <c r="O46" i="3"/>
  <c r="N46" i="3"/>
  <c r="T45" i="3"/>
  <c r="Q45" i="3"/>
  <c r="P45" i="3"/>
  <c r="O45" i="3"/>
  <c r="N45" i="3"/>
  <c r="T44" i="3"/>
  <c r="Q44" i="3"/>
  <c r="P44" i="3"/>
  <c r="O44" i="3"/>
  <c r="N44" i="3"/>
  <c r="T43" i="3"/>
  <c r="Q43" i="3"/>
  <c r="P43" i="3"/>
  <c r="O43" i="3"/>
  <c r="N43" i="3"/>
  <c r="T42" i="3"/>
  <c r="Q42" i="3"/>
  <c r="P42" i="3"/>
  <c r="O42" i="3"/>
  <c r="N42" i="3"/>
  <c r="T41" i="3"/>
  <c r="Q41" i="3"/>
  <c r="P41" i="3"/>
  <c r="O41" i="3"/>
  <c r="N41" i="3"/>
  <c r="T40" i="3"/>
  <c r="Q40" i="3"/>
  <c r="P40" i="3"/>
  <c r="O40" i="3"/>
  <c r="N40" i="3"/>
  <c r="T39" i="3"/>
  <c r="Q39" i="3"/>
  <c r="P39" i="3"/>
  <c r="O39" i="3"/>
  <c r="N39" i="3"/>
  <c r="T38" i="3"/>
  <c r="Q38" i="3"/>
  <c r="P38" i="3"/>
  <c r="O38" i="3"/>
  <c r="N38" i="3"/>
  <c r="T37" i="3"/>
  <c r="Q37" i="3"/>
  <c r="P37" i="3"/>
  <c r="O37" i="3"/>
  <c r="N37" i="3"/>
  <c r="T36" i="3"/>
  <c r="Q36" i="3"/>
  <c r="P36" i="3"/>
  <c r="O36" i="3"/>
  <c r="N36" i="3"/>
  <c r="T35" i="3"/>
  <c r="Q35" i="3"/>
  <c r="P35" i="3"/>
  <c r="O35" i="3"/>
  <c r="N35" i="3"/>
  <c r="T34" i="3"/>
  <c r="Q34" i="3"/>
  <c r="P34" i="3"/>
  <c r="O34" i="3"/>
  <c r="N34" i="3"/>
  <c r="T33" i="3"/>
  <c r="Q33" i="3"/>
  <c r="P33" i="3"/>
  <c r="O33" i="3"/>
  <c r="N33" i="3"/>
  <c r="T32" i="3"/>
  <c r="Q32" i="3"/>
  <c r="P32" i="3"/>
  <c r="O32" i="3"/>
  <c r="N32" i="3"/>
  <c r="T31" i="3"/>
  <c r="Q31" i="3"/>
  <c r="P31" i="3"/>
  <c r="O31" i="3"/>
  <c r="N31" i="3"/>
  <c r="T30" i="3"/>
  <c r="Q30" i="3"/>
  <c r="P30" i="3"/>
  <c r="O30" i="3"/>
  <c r="N30" i="3"/>
  <c r="T29" i="3"/>
  <c r="Q29" i="3"/>
  <c r="P29" i="3"/>
  <c r="O29" i="3"/>
  <c r="N29" i="3"/>
  <c r="T28" i="3"/>
  <c r="Q28" i="3"/>
  <c r="P28" i="3"/>
  <c r="O28" i="3"/>
  <c r="N28" i="3"/>
  <c r="T27" i="3"/>
  <c r="Q27" i="3"/>
  <c r="P27" i="3"/>
  <c r="O27" i="3"/>
  <c r="N27" i="3"/>
  <c r="T26" i="3"/>
  <c r="Q26" i="3"/>
  <c r="P26" i="3"/>
  <c r="O26" i="3"/>
  <c r="N26" i="3"/>
  <c r="T25" i="3"/>
  <c r="Q25" i="3"/>
  <c r="P25" i="3"/>
  <c r="O25" i="3"/>
  <c r="N25" i="3"/>
  <c r="T24" i="3"/>
  <c r="Q24" i="3"/>
  <c r="P24" i="3"/>
  <c r="O24" i="3"/>
  <c r="N24" i="3"/>
  <c r="T23" i="3"/>
  <c r="Q23" i="3"/>
  <c r="P23" i="3"/>
  <c r="O23" i="3"/>
  <c r="N23" i="3"/>
  <c r="T22" i="3"/>
  <c r="Q22" i="3"/>
  <c r="P22" i="3"/>
  <c r="O22" i="3"/>
  <c r="N22" i="3"/>
  <c r="T21" i="3"/>
  <c r="Q21" i="3"/>
  <c r="P21" i="3"/>
  <c r="O21" i="3"/>
  <c r="N21" i="3"/>
  <c r="T20" i="3"/>
  <c r="Q20" i="3"/>
  <c r="P20" i="3"/>
  <c r="O20" i="3"/>
  <c r="N20" i="3"/>
  <c r="T19" i="3"/>
  <c r="Q19" i="3"/>
  <c r="P19" i="3"/>
  <c r="O19" i="3"/>
  <c r="N19" i="3"/>
  <c r="T18" i="3"/>
  <c r="Q18" i="3"/>
  <c r="P18" i="3"/>
  <c r="O18" i="3"/>
  <c r="N18" i="3"/>
  <c r="T17" i="3"/>
  <c r="Q17" i="3"/>
  <c r="P17" i="3"/>
  <c r="O17" i="3"/>
  <c r="N17" i="3"/>
  <c r="T16" i="3"/>
  <c r="Q16" i="3"/>
  <c r="P16" i="3"/>
  <c r="O16" i="3"/>
  <c r="N16" i="3"/>
  <c r="T15" i="3"/>
  <c r="Q15" i="3"/>
  <c r="P15" i="3"/>
  <c r="O15" i="3"/>
  <c r="N15" i="3"/>
  <c r="T14" i="3"/>
  <c r="Q14" i="3"/>
  <c r="P14" i="3"/>
  <c r="O14" i="3"/>
  <c r="N14" i="3"/>
  <c r="T13" i="3"/>
  <c r="Q13" i="3"/>
  <c r="P13" i="3"/>
  <c r="O13" i="3"/>
  <c r="N13" i="3"/>
  <c r="T12" i="3"/>
  <c r="Q12" i="3"/>
  <c r="P12" i="3"/>
  <c r="O12" i="3"/>
  <c r="N12" i="3"/>
  <c r="T11" i="3"/>
  <c r="Q11" i="3"/>
  <c r="P11" i="3"/>
  <c r="O11" i="3"/>
  <c r="N11" i="3"/>
  <c r="T10" i="3"/>
  <c r="Q10" i="3"/>
  <c r="P10" i="3"/>
  <c r="O10" i="3"/>
  <c r="N10" i="3"/>
  <c r="T9" i="3"/>
  <c r="Q9" i="3"/>
  <c r="P9" i="3"/>
  <c r="O9" i="3"/>
  <c r="N9" i="3"/>
  <c r="T8" i="3"/>
  <c r="Q8" i="3"/>
  <c r="P8" i="3"/>
  <c r="O8" i="3"/>
  <c r="N8" i="3"/>
  <c r="T7" i="3"/>
  <c r="Q7" i="3"/>
  <c r="P7" i="3"/>
  <c r="O7" i="3"/>
  <c r="N7" i="3"/>
  <c r="T6" i="3"/>
  <c r="Q6" i="3"/>
  <c r="P6" i="3"/>
  <c r="O6" i="3"/>
  <c r="N6" i="3"/>
  <c r="T5" i="3"/>
  <c r="Q5" i="3"/>
  <c r="P5" i="3"/>
  <c r="O5" i="3"/>
  <c r="N5" i="3"/>
  <c r="T4" i="3"/>
  <c r="Q4" i="3"/>
  <c r="P4" i="3"/>
  <c r="O4" i="3"/>
  <c r="N4" i="3"/>
  <c r="T3" i="3"/>
  <c r="Q3" i="3"/>
  <c r="P3" i="3"/>
  <c r="O3" i="3"/>
  <c r="N3" i="3"/>
  <c r="C149" i="2"/>
  <c r="E146" i="2"/>
  <c r="M144" i="2"/>
  <c r="L144" i="2"/>
  <c r="J144" i="2"/>
  <c r="C147" i="2" s="1"/>
  <c r="O143" i="2"/>
  <c r="K143" i="2"/>
  <c r="O142" i="2"/>
  <c r="K142" i="2"/>
  <c r="O141" i="2"/>
  <c r="K141" i="2"/>
  <c r="O140" i="2"/>
  <c r="K140" i="2"/>
  <c r="O139" i="2"/>
  <c r="K139" i="2"/>
  <c r="O138" i="2"/>
  <c r="K138" i="2"/>
  <c r="O137" i="2"/>
  <c r="K137" i="2"/>
  <c r="O136" i="2"/>
  <c r="K136" i="2"/>
  <c r="O135" i="2"/>
  <c r="K135" i="2"/>
  <c r="O134" i="2"/>
  <c r="K134" i="2"/>
  <c r="O133" i="2"/>
  <c r="K133" i="2"/>
  <c r="O132" i="2"/>
  <c r="K132" i="2"/>
  <c r="O131" i="2"/>
  <c r="K131" i="2"/>
  <c r="O130" i="2"/>
  <c r="K130" i="2"/>
  <c r="O129" i="2"/>
  <c r="K129" i="2"/>
  <c r="O128" i="2"/>
  <c r="K128" i="2"/>
  <c r="O127" i="2"/>
  <c r="K127" i="2"/>
  <c r="O126" i="2"/>
  <c r="K126" i="2"/>
  <c r="O125" i="2"/>
  <c r="K125" i="2"/>
  <c r="O124" i="2"/>
  <c r="K124" i="2"/>
  <c r="O123" i="2"/>
  <c r="K123" i="2"/>
  <c r="O122" i="2"/>
  <c r="K122" i="2"/>
  <c r="O121" i="2"/>
  <c r="K121" i="2"/>
  <c r="O120" i="2"/>
  <c r="K120" i="2"/>
  <c r="O119" i="2"/>
  <c r="K119" i="2"/>
  <c r="O118" i="2"/>
  <c r="K118" i="2"/>
  <c r="O117" i="2"/>
  <c r="K117" i="2"/>
  <c r="O116" i="2"/>
  <c r="O115" i="2"/>
  <c r="K115" i="2"/>
  <c r="O114" i="2"/>
  <c r="K114" i="2"/>
  <c r="O113" i="2"/>
  <c r="K113" i="2"/>
  <c r="O112" i="2"/>
  <c r="K112" i="2"/>
  <c r="O111" i="2"/>
  <c r="K111" i="2"/>
  <c r="O110" i="2"/>
  <c r="K110" i="2"/>
  <c r="O109" i="2"/>
  <c r="K109" i="2"/>
  <c r="O108" i="2"/>
  <c r="K108" i="2"/>
  <c r="O107" i="2"/>
  <c r="K107" i="2"/>
  <c r="O106" i="2"/>
  <c r="K106" i="2"/>
  <c r="O105" i="2"/>
  <c r="O104" i="2"/>
  <c r="O103" i="2"/>
  <c r="O102" i="2"/>
  <c r="O101" i="2"/>
  <c r="K101" i="2"/>
  <c r="O100" i="2"/>
  <c r="O99" i="2"/>
  <c r="O98" i="2"/>
  <c r="O97" i="2"/>
  <c r="O96" i="2"/>
  <c r="O95" i="2"/>
  <c r="O94" i="2"/>
  <c r="K94" i="2"/>
  <c r="O93" i="2"/>
  <c r="O92" i="2"/>
  <c r="K92" i="2"/>
  <c r="O91" i="2"/>
  <c r="O90" i="2"/>
  <c r="K90" i="2"/>
  <c r="O89" i="2"/>
  <c r="O88" i="2"/>
  <c r="O87" i="2"/>
  <c r="O86" i="2"/>
  <c r="O85" i="2"/>
  <c r="K85" i="2"/>
  <c r="O84" i="2"/>
  <c r="O83" i="2"/>
  <c r="O82" i="2"/>
  <c r="O81" i="2"/>
  <c r="O80" i="2"/>
  <c r="O79" i="2"/>
  <c r="K79" i="2"/>
  <c r="O78" i="2"/>
  <c r="O77" i="2"/>
  <c r="O76" i="2"/>
  <c r="O75" i="2"/>
  <c r="K75" i="2"/>
  <c r="O74" i="2"/>
  <c r="O73" i="2"/>
  <c r="K73" i="2"/>
  <c r="O72" i="2"/>
  <c r="K72" i="2"/>
  <c r="O71" i="2"/>
  <c r="K71" i="2"/>
  <c r="O70" i="2"/>
  <c r="O69" i="2"/>
  <c r="O68" i="2"/>
  <c r="K68" i="2"/>
  <c r="O67" i="2"/>
  <c r="K67" i="2"/>
  <c r="O66" i="2"/>
  <c r="O65" i="2"/>
  <c r="O64" i="2"/>
  <c r="K64" i="2"/>
  <c r="O63" i="2"/>
  <c r="K63" i="2"/>
  <c r="O62" i="2"/>
  <c r="K62" i="2"/>
  <c r="O61" i="2"/>
  <c r="K61" i="2"/>
  <c r="O60" i="2"/>
  <c r="K60" i="2"/>
  <c r="O59" i="2"/>
  <c r="O58" i="2"/>
  <c r="O57" i="2"/>
  <c r="K57" i="2"/>
  <c r="O56" i="2"/>
  <c r="K56" i="2"/>
  <c r="O55" i="2"/>
  <c r="O54" i="2"/>
  <c r="O53" i="2"/>
  <c r="K53" i="2"/>
  <c r="O52" i="2"/>
  <c r="K52" i="2"/>
  <c r="O51" i="2"/>
  <c r="O50" i="2"/>
  <c r="O49" i="2"/>
  <c r="K49" i="2"/>
  <c r="O48" i="2"/>
  <c r="O47" i="2"/>
  <c r="O46" i="2"/>
  <c r="K46" i="2"/>
  <c r="O45" i="2"/>
  <c r="O44" i="2"/>
  <c r="O43" i="2"/>
  <c r="K43" i="2"/>
  <c r="O42" i="2"/>
  <c r="O41" i="2"/>
  <c r="K41" i="2"/>
  <c r="O40" i="2"/>
  <c r="O39" i="2"/>
  <c r="K39" i="2"/>
  <c r="O38" i="2"/>
  <c r="K38" i="2"/>
  <c r="O37" i="2"/>
  <c r="O36" i="2"/>
  <c r="K36" i="2"/>
  <c r="O35" i="2"/>
  <c r="O34" i="2"/>
  <c r="K34" i="2"/>
  <c r="O33" i="2"/>
  <c r="O32" i="2"/>
  <c r="K32" i="2"/>
  <c r="O31" i="2"/>
  <c r="O30" i="2"/>
  <c r="K30" i="2"/>
  <c r="O29" i="2"/>
  <c r="O28" i="2"/>
  <c r="K28" i="2"/>
  <c r="O27" i="2"/>
  <c r="O26" i="2"/>
  <c r="K26" i="2"/>
  <c r="O25" i="2"/>
  <c r="O24" i="2"/>
  <c r="K24" i="2"/>
  <c r="K144" i="2" s="1"/>
  <c r="C148" i="2" s="1"/>
  <c r="O23" i="2"/>
  <c r="O22" i="2"/>
  <c r="K22" i="2"/>
  <c r="O21" i="2"/>
  <c r="O20" i="2"/>
  <c r="K20" i="2"/>
  <c r="O19" i="2"/>
  <c r="O18" i="2"/>
  <c r="K18" i="2"/>
  <c r="O17" i="2"/>
  <c r="K17" i="2"/>
  <c r="O16" i="2"/>
  <c r="K16" i="2"/>
  <c r="O15" i="2"/>
  <c r="K15" i="2"/>
  <c r="O14" i="2"/>
  <c r="K14" i="2"/>
  <c r="O13" i="2"/>
  <c r="K13" i="2"/>
  <c r="O12" i="2"/>
  <c r="K12" i="2"/>
  <c r="O11" i="2"/>
  <c r="K11" i="2"/>
  <c r="O10" i="2"/>
  <c r="K10" i="2"/>
  <c r="O9" i="2"/>
  <c r="K9" i="2"/>
  <c r="O8" i="2"/>
  <c r="K8" i="2"/>
  <c r="O7" i="2"/>
  <c r="K7" i="2"/>
  <c r="O6" i="2"/>
  <c r="K6" i="2"/>
  <c r="O5" i="2"/>
  <c r="K5" i="2"/>
  <c r="O4" i="2"/>
  <c r="K4" i="2"/>
  <c r="O3" i="2"/>
  <c r="O144" i="2" s="1"/>
  <c r="K3" i="2"/>
  <c r="C161" i="1"/>
  <c r="C159" i="1"/>
  <c r="L156" i="1"/>
  <c r="D158" i="1" s="1"/>
  <c r="K156" i="1"/>
  <c r="I156" i="1"/>
  <c r="R155" i="1"/>
  <c r="R154" i="1"/>
  <c r="R153" i="1"/>
  <c r="R152" i="1"/>
  <c r="M152" i="1"/>
  <c r="J152" i="1"/>
  <c r="R151" i="1"/>
  <c r="M151" i="1"/>
  <c r="J151" i="1"/>
  <c r="R150" i="1"/>
  <c r="M150" i="1"/>
  <c r="J150" i="1"/>
  <c r="R149" i="1"/>
  <c r="M149" i="1"/>
  <c r="J149" i="1"/>
  <c r="R148" i="1"/>
  <c r="M148" i="1"/>
  <c r="J148" i="1"/>
  <c r="R147" i="1"/>
  <c r="M147" i="1"/>
  <c r="J147" i="1"/>
  <c r="R146" i="1"/>
  <c r="M146" i="1"/>
  <c r="J146" i="1"/>
  <c r="R145" i="1"/>
  <c r="M145" i="1"/>
  <c r="J145" i="1"/>
  <c r="R144" i="1"/>
  <c r="M144" i="1"/>
  <c r="J144" i="1"/>
  <c r="R143" i="1"/>
  <c r="M143" i="1"/>
  <c r="J143" i="1"/>
  <c r="R142" i="1"/>
  <c r="M142" i="1"/>
  <c r="J142" i="1"/>
  <c r="R141" i="1"/>
  <c r="M141" i="1"/>
  <c r="J141" i="1"/>
  <c r="R140" i="1"/>
  <c r="M140" i="1"/>
  <c r="J140" i="1"/>
  <c r="R139" i="1"/>
  <c r="M139" i="1"/>
  <c r="J139" i="1"/>
  <c r="R138" i="1"/>
  <c r="M138" i="1"/>
  <c r="J138" i="1"/>
  <c r="R137" i="1"/>
  <c r="M137" i="1"/>
  <c r="J137" i="1"/>
  <c r="R136" i="1"/>
  <c r="M136" i="1"/>
  <c r="J136" i="1"/>
  <c r="R135" i="1"/>
  <c r="M135" i="1"/>
  <c r="J135" i="1"/>
  <c r="R134" i="1"/>
  <c r="M134" i="1"/>
  <c r="J134" i="1"/>
  <c r="R133" i="1"/>
  <c r="M133" i="1"/>
  <c r="J133" i="1"/>
  <c r="R132" i="1"/>
  <c r="M132" i="1"/>
  <c r="J132" i="1"/>
  <c r="R131" i="1"/>
  <c r="M131" i="1"/>
  <c r="J131" i="1"/>
  <c r="R130" i="1"/>
  <c r="M130" i="1"/>
  <c r="J130" i="1"/>
  <c r="R129" i="1"/>
  <c r="M129" i="1"/>
  <c r="J129" i="1"/>
  <c r="R128" i="1"/>
  <c r="M128" i="1"/>
  <c r="J128" i="1"/>
  <c r="R127" i="1"/>
  <c r="M127" i="1"/>
  <c r="J127" i="1"/>
  <c r="R126" i="1"/>
  <c r="M126" i="1"/>
  <c r="J126" i="1"/>
  <c r="R125" i="1"/>
  <c r="R124" i="1"/>
  <c r="M124" i="1"/>
  <c r="J124" i="1"/>
  <c r="R123" i="1"/>
  <c r="M123" i="1"/>
  <c r="J123" i="1"/>
  <c r="R122" i="1"/>
  <c r="M122" i="1"/>
  <c r="J122" i="1"/>
  <c r="R121" i="1"/>
  <c r="M121" i="1"/>
  <c r="J121" i="1"/>
  <c r="R120" i="1"/>
  <c r="M120" i="1"/>
  <c r="J120" i="1"/>
  <c r="R119" i="1"/>
  <c r="M119" i="1"/>
  <c r="J119" i="1"/>
  <c r="R118" i="1"/>
  <c r="M118" i="1"/>
  <c r="J118" i="1"/>
  <c r="R117" i="1"/>
  <c r="M117" i="1"/>
  <c r="J117" i="1"/>
  <c r="R116" i="1"/>
  <c r="M116" i="1"/>
  <c r="J116" i="1"/>
  <c r="R115" i="1"/>
  <c r="M115" i="1"/>
  <c r="J115" i="1"/>
  <c r="R114" i="1"/>
  <c r="R113" i="1"/>
  <c r="R112" i="1"/>
  <c r="R111" i="1"/>
  <c r="R110" i="1"/>
  <c r="M110" i="1"/>
  <c r="J110" i="1"/>
  <c r="R109" i="1"/>
  <c r="R108" i="1"/>
  <c r="R107" i="1"/>
  <c r="R106" i="1"/>
  <c r="R105" i="1"/>
  <c r="R104" i="1"/>
  <c r="R103" i="1"/>
  <c r="M103" i="1"/>
  <c r="J103" i="1"/>
  <c r="R102" i="1"/>
  <c r="R101" i="1"/>
  <c r="M101" i="1"/>
  <c r="J101" i="1"/>
  <c r="R100" i="1"/>
  <c r="R99" i="1"/>
  <c r="M99" i="1"/>
  <c r="J99" i="1"/>
  <c r="R98" i="1"/>
  <c r="R97" i="1"/>
  <c r="R96" i="1"/>
  <c r="R95" i="1"/>
  <c r="R94" i="1"/>
  <c r="M94" i="1"/>
  <c r="J94" i="1"/>
  <c r="R93" i="1"/>
  <c r="R92" i="1"/>
  <c r="R91" i="1"/>
  <c r="R90" i="1"/>
  <c r="R89" i="1"/>
  <c r="R88" i="1"/>
  <c r="M88" i="1"/>
  <c r="J88" i="1"/>
  <c r="R87" i="1"/>
  <c r="R86" i="1"/>
  <c r="R85" i="1"/>
  <c r="R84" i="1"/>
  <c r="M84" i="1"/>
  <c r="J84" i="1"/>
  <c r="R83" i="1"/>
  <c r="R82" i="1"/>
  <c r="M82" i="1"/>
  <c r="J82" i="1"/>
  <c r="R81" i="1"/>
  <c r="M81" i="1"/>
  <c r="J81" i="1"/>
  <c r="R80" i="1"/>
  <c r="M80" i="1"/>
  <c r="J80" i="1"/>
  <c r="R79" i="1"/>
  <c r="R78" i="1"/>
  <c r="R77" i="1"/>
  <c r="M77" i="1"/>
  <c r="J77" i="1"/>
  <c r="R76" i="1"/>
  <c r="M76" i="1"/>
  <c r="J76" i="1"/>
  <c r="R75" i="1"/>
  <c r="R74" i="1"/>
  <c r="R73" i="1"/>
  <c r="M73" i="1"/>
  <c r="J73" i="1"/>
  <c r="R72" i="1"/>
  <c r="M72" i="1"/>
  <c r="J72" i="1"/>
  <c r="R71" i="1"/>
  <c r="M71" i="1"/>
  <c r="J71" i="1"/>
  <c r="R70" i="1"/>
  <c r="M70" i="1"/>
  <c r="J70" i="1"/>
  <c r="R69" i="1"/>
  <c r="M69" i="1"/>
  <c r="J69" i="1"/>
  <c r="R68" i="1"/>
  <c r="R67" i="1"/>
  <c r="R66" i="1"/>
  <c r="M66" i="1"/>
  <c r="J66" i="1"/>
  <c r="R65" i="1"/>
  <c r="M65" i="1"/>
  <c r="J65" i="1"/>
  <c r="R64" i="1"/>
  <c r="R63" i="1"/>
  <c r="R62" i="1"/>
  <c r="M62" i="1"/>
  <c r="J62" i="1"/>
  <c r="R61" i="1"/>
  <c r="M61" i="1"/>
  <c r="J61" i="1"/>
  <c r="R60" i="1"/>
  <c r="R59" i="1"/>
  <c r="R58" i="1"/>
  <c r="M58" i="1"/>
  <c r="J58" i="1"/>
  <c r="R57" i="1"/>
  <c r="R56" i="1"/>
  <c r="R55" i="1"/>
  <c r="M55" i="1"/>
  <c r="J55" i="1"/>
  <c r="R54" i="1"/>
  <c r="R53" i="1"/>
  <c r="R52" i="1"/>
  <c r="M52" i="1"/>
  <c r="J52" i="1"/>
  <c r="R51" i="1"/>
  <c r="R50" i="1"/>
  <c r="M50" i="1"/>
  <c r="J50" i="1"/>
  <c r="R49" i="1"/>
  <c r="R48" i="1"/>
  <c r="M48" i="1"/>
  <c r="J48" i="1"/>
  <c r="R47" i="1"/>
  <c r="M47" i="1"/>
  <c r="J47" i="1"/>
  <c r="R46" i="1"/>
  <c r="R45" i="1"/>
  <c r="M45" i="1"/>
  <c r="J45" i="1"/>
  <c r="R44" i="1"/>
  <c r="R43" i="1"/>
  <c r="M43" i="1"/>
  <c r="J43" i="1"/>
  <c r="R42" i="1"/>
  <c r="R41" i="1"/>
  <c r="M41" i="1"/>
  <c r="J41" i="1"/>
  <c r="R40" i="1"/>
  <c r="R39" i="1"/>
  <c r="M39" i="1"/>
  <c r="J39" i="1"/>
  <c r="R38" i="1"/>
  <c r="R37" i="1"/>
  <c r="M37" i="1"/>
  <c r="J37" i="1"/>
  <c r="R36" i="1"/>
  <c r="R35" i="1"/>
  <c r="M35" i="1"/>
  <c r="J35" i="1"/>
  <c r="R34" i="1"/>
  <c r="R33" i="1"/>
  <c r="M33" i="1"/>
  <c r="J33" i="1"/>
  <c r="R32" i="1"/>
  <c r="R31" i="1"/>
  <c r="M31" i="1"/>
  <c r="J31" i="1"/>
  <c r="R30" i="1"/>
  <c r="R29" i="1"/>
  <c r="M29" i="1"/>
  <c r="J29" i="1"/>
  <c r="R28" i="1"/>
  <c r="R27" i="1"/>
  <c r="M27" i="1"/>
  <c r="J27" i="1"/>
  <c r="R26" i="1"/>
  <c r="M26" i="1"/>
  <c r="J26" i="1"/>
  <c r="R25" i="1"/>
  <c r="M25" i="1"/>
  <c r="J25" i="1"/>
  <c r="R24" i="1"/>
  <c r="M24" i="1"/>
  <c r="J24" i="1"/>
  <c r="R23" i="1"/>
  <c r="M23" i="1"/>
  <c r="J23" i="1"/>
  <c r="R22" i="1"/>
  <c r="M22" i="1"/>
  <c r="J22" i="1"/>
  <c r="R21" i="1"/>
  <c r="M21" i="1"/>
  <c r="J21" i="1"/>
  <c r="R20" i="1"/>
  <c r="M20" i="1"/>
  <c r="J20" i="1"/>
  <c r="R19" i="1"/>
  <c r="M19" i="1"/>
  <c r="J19" i="1"/>
  <c r="R18" i="1"/>
  <c r="M18" i="1"/>
  <c r="J18" i="1"/>
  <c r="R17" i="1"/>
  <c r="M17" i="1"/>
  <c r="J17" i="1"/>
  <c r="R16" i="1"/>
  <c r="M16" i="1"/>
  <c r="J16" i="1"/>
  <c r="R15" i="1"/>
  <c r="R156" i="1" s="1"/>
  <c r="M15" i="1"/>
  <c r="J15" i="1"/>
  <c r="R14" i="1"/>
  <c r="M14" i="1"/>
  <c r="J14" i="1"/>
  <c r="R13" i="1"/>
  <c r="M13" i="1"/>
  <c r="J13" i="1"/>
  <c r="J156" i="1" s="1"/>
  <c r="C160" i="1" s="1"/>
  <c r="R12" i="1"/>
  <c r="M12" i="1"/>
  <c r="M156" i="1" s="1"/>
  <c r="J12" i="1"/>
  <c r="O144" i="4" l="1"/>
  <c r="P144" i="3"/>
  <c r="N144" i="3"/>
  <c r="T144" i="3"/>
  <c r="Q144" i="3"/>
  <c r="O144" i="3"/>
</calcChain>
</file>

<file path=xl/sharedStrings.xml><?xml version="1.0" encoding="utf-8"?>
<sst xmlns="http://schemas.openxmlformats.org/spreadsheetml/2006/main" count="8274" uniqueCount="811">
  <si>
    <t>Shipper:</t>
  </si>
  <si>
    <t>Consignee:</t>
  </si>
  <si>
    <t xml:space="preserve">Terms: </t>
  </si>
  <si>
    <t>Invoice No.:</t>
  </si>
  <si>
    <t>POL</t>
  </si>
  <si>
    <t>POD</t>
  </si>
  <si>
    <r>
      <rPr>
        <b/>
        <sz val="10"/>
        <rFont val="宋体"/>
        <charset val="134"/>
      </rPr>
      <t>涂黄带磁</t>
    </r>
  </si>
  <si>
    <t>INVOICE DATE:</t>
  </si>
  <si>
    <r>
      <rPr>
        <b/>
        <sz val="10"/>
        <rFont val="宋体"/>
        <charset val="134"/>
      </rPr>
      <t>涂红带电</t>
    </r>
  </si>
  <si>
    <r>
      <rPr>
        <b/>
        <sz val="10"/>
        <rFont val="宋体"/>
        <charset val="134"/>
      </rPr>
      <t>价格请填写实际价格</t>
    </r>
  </si>
  <si>
    <r>
      <rPr>
        <b/>
        <sz val="12"/>
        <color indexed="8"/>
        <rFont val="宋体"/>
        <charset val="134"/>
      </rPr>
      <t>唛头</t>
    </r>
  </si>
  <si>
    <r>
      <rPr>
        <b/>
        <sz val="12"/>
        <color indexed="8"/>
        <rFont val="宋体"/>
        <charset val="134"/>
      </rPr>
      <t>品名及规格</t>
    </r>
  </si>
  <si>
    <r>
      <t xml:space="preserve"> </t>
    </r>
    <r>
      <rPr>
        <b/>
        <sz val="12"/>
        <rFont val="宋体"/>
        <charset val="134"/>
      </rPr>
      <t>数量</t>
    </r>
  </si>
  <si>
    <r>
      <rPr>
        <b/>
        <sz val="12"/>
        <color indexed="8"/>
        <rFont val="宋体"/>
        <charset val="134"/>
      </rPr>
      <t>净重</t>
    </r>
  </si>
  <si>
    <r>
      <rPr>
        <b/>
        <sz val="12"/>
        <color indexed="8"/>
        <rFont val="宋体"/>
        <charset val="134"/>
      </rPr>
      <t>毛重</t>
    </r>
  </si>
  <si>
    <r>
      <rPr>
        <b/>
        <sz val="12"/>
        <color indexed="8"/>
        <rFont val="宋体"/>
        <charset val="134"/>
      </rPr>
      <t>件数</t>
    </r>
  </si>
  <si>
    <r>
      <rPr>
        <b/>
        <sz val="12"/>
        <color indexed="8"/>
        <rFont val="宋体"/>
        <charset val="134"/>
      </rPr>
      <t>尺寸</t>
    </r>
  </si>
  <si>
    <t xml:space="preserve">UNIT PRICE  </t>
  </si>
  <si>
    <t xml:space="preserve">TOTAL </t>
  </si>
  <si>
    <r>
      <rPr>
        <b/>
        <sz val="12"/>
        <rFont val="宋体"/>
        <charset val="134"/>
      </rPr>
      <t>海关编码</t>
    </r>
  </si>
  <si>
    <r>
      <rPr>
        <b/>
        <sz val="12"/>
        <rFont val="宋体"/>
        <charset val="134"/>
      </rPr>
      <t>价格请填写实际价格</t>
    </r>
  </si>
  <si>
    <t>MARKS &amp; NO</t>
  </si>
  <si>
    <r>
      <rPr>
        <b/>
        <sz val="12"/>
        <rFont val="宋体"/>
        <charset val="134"/>
      </rPr>
      <t>英文品名</t>
    </r>
  </si>
  <si>
    <r>
      <rPr>
        <b/>
        <sz val="12"/>
        <rFont val="宋体"/>
        <charset val="134"/>
      </rPr>
      <t>中文品名</t>
    </r>
  </si>
  <si>
    <r>
      <rPr>
        <b/>
        <sz val="12"/>
        <rFont val="宋体"/>
        <charset val="134"/>
      </rPr>
      <t>品牌</t>
    </r>
  </si>
  <si>
    <r>
      <rPr>
        <b/>
        <sz val="12"/>
        <rFont val="宋体"/>
        <charset val="134"/>
      </rPr>
      <t>材质</t>
    </r>
  </si>
  <si>
    <r>
      <rPr>
        <b/>
        <sz val="12"/>
        <rFont val="宋体"/>
        <charset val="134"/>
      </rPr>
      <t>型号</t>
    </r>
  </si>
  <si>
    <r>
      <rPr>
        <b/>
        <sz val="12"/>
        <rFont val="宋体"/>
        <charset val="134"/>
      </rPr>
      <t>用途</t>
    </r>
  </si>
  <si>
    <t>QTY</t>
  </si>
  <si>
    <t>N.W (KG)</t>
  </si>
  <si>
    <t>G.W.(KG)</t>
  </si>
  <si>
    <t>CTN</t>
  </si>
  <si>
    <t>L(CM)</t>
  </si>
  <si>
    <t>W(CM)</t>
  </si>
  <si>
    <t>H(CM)</t>
  </si>
  <si>
    <r>
      <rPr>
        <b/>
        <sz val="12"/>
        <color indexed="8"/>
        <rFont val="宋体"/>
        <charset val="134"/>
      </rPr>
      <t>币别</t>
    </r>
  </si>
  <si>
    <t>HSCODE</t>
  </si>
  <si>
    <r>
      <rPr>
        <b/>
        <sz val="12"/>
        <rFont val="宋体"/>
        <charset val="134"/>
      </rPr>
      <t>图片</t>
    </r>
    <r>
      <rPr>
        <b/>
        <sz val="12"/>
        <rFont val="Calibri"/>
        <family val="2"/>
      </rPr>
      <t>$</t>
    </r>
    <r>
      <rPr>
        <b/>
        <sz val="12"/>
        <rFont val="宋体"/>
        <charset val="134"/>
      </rPr>
      <t>销售链接</t>
    </r>
  </si>
  <si>
    <t>FBA15C626X7JU000001</t>
  </si>
  <si>
    <t>Children's toy vest suit</t>
  </si>
  <si>
    <t>儿童玩具背心套装</t>
  </si>
  <si>
    <t>无</t>
  </si>
  <si>
    <t>橡胶+尼龙Rubber + nylon</t>
  </si>
  <si>
    <t>居家 living at home</t>
  </si>
  <si>
    <t>https://www.amazon.co.uk/dp/B079HN3F1D</t>
  </si>
  <si>
    <t>FBA15C626X7JU000002</t>
  </si>
  <si>
    <t>FBA15C626X7JU000003</t>
  </si>
  <si>
    <t>FBA15C626X7JU000004</t>
  </si>
  <si>
    <t>FBA15C626X7JU000005</t>
  </si>
  <si>
    <t>FBA15C626X7JU000006</t>
  </si>
  <si>
    <t>FBA15C626X7JU000007</t>
  </si>
  <si>
    <t>FBA15C626X7JU000008</t>
  </si>
  <si>
    <t>FBA15C626X7JU000009</t>
  </si>
  <si>
    <t>FBA15C626X7JU000010</t>
  </si>
  <si>
    <t>FBA15C626X7JU000011</t>
  </si>
  <si>
    <t>FBA15C626X7JU000012</t>
  </si>
  <si>
    <t>FBA15C626X7JU000013</t>
  </si>
  <si>
    <t>FBA15C626X7JU000014</t>
  </si>
  <si>
    <t>FBA15C626X7JU000015</t>
  </si>
  <si>
    <t>FBA15C64BKJ2U000001</t>
  </si>
  <si>
    <t>kitchen torch</t>
  </si>
  <si>
    <t>喷火枪</t>
  </si>
  <si>
    <r>
      <t xml:space="preserve">合金
</t>
    </r>
    <r>
      <rPr>
        <sz val="10"/>
        <color theme="1"/>
        <rFont val="Arial"/>
        <family val="2"/>
      </rPr>
      <t>aluminum</t>
    </r>
  </si>
  <si>
    <t>家居
Home product</t>
  </si>
  <si>
    <t>https://www.amazon.co.uk/Professional-Kitchen-Blowtorch-Cooking-Welding/dp/B075688X7X/ref=zg_bs_11713221_23?_encoding=UTF8&amp;refRID=YSNHSZ6Z78MKAGYXC94J</t>
  </si>
  <si>
    <t>silicone case</t>
  </si>
  <si>
    <t>硅胶保护套</t>
  </si>
  <si>
    <r>
      <t xml:space="preserve">硅胶
</t>
    </r>
    <r>
      <rPr>
        <sz val="10"/>
        <color theme="1"/>
        <rFont val="Arial"/>
        <family val="2"/>
      </rPr>
      <t>silicone</t>
    </r>
  </si>
  <si>
    <t>Home and Garden
家居</t>
  </si>
  <si>
    <t>https://www.amazon.co.uk/Silicone-GULAKI-Non-Slip-Accessories-Wireless/dp/B0798MWRDC/ref=sr_1_8?s=electronics&amp;ie=UTF8&amp;qid=1533118664&amp;sr=1-8&amp;keywords=airpods+case</t>
  </si>
  <si>
    <t>FBA15C64BKJ2U000002</t>
  </si>
  <si>
    <t>FBA15C64BKJ2U000003</t>
  </si>
  <si>
    <t>FBA15C64BKJ2U000004</t>
  </si>
  <si>
    <t>FBA15C64BKJ2U000005</t>
  </si>
  <si>
    <t>FBA15C64BKJ2U000006</t>
  </si>
  <si>
    <t>FBA15C64BKJ2U000007</t>
  </si>
  <si>
    <t>FBA15C64BKJ2U000008</t>
  </si>
  <si>
    <t>FBA15C64BKJ2U000009</t>
  </si>
  <si>
    <t>FBA15C64BKJ2U000010</t>
  </si>
  <si>
    <t>FBA15C63YXGTU000001</t>
  </si>
  <si>
    <t>crayons</t>
  </si>
  <si>
    <t>蜡笔</t>
  </si>
  <si>
    <t>石蜡
paraffin</t>
  </si>
  <si>
    <t>画画
painting</t>
  </si>
  <si>
    <t>https://www.amazon.co.uk/JOYIN-Non-Toxic-Ultimate-including-METALLIC/dp/B075FH22G4/ref=sr_1_2_sspa?ie=UTF8&amp;qid=1544518629&amp;sr=8-2-spons&amp;keywords=face+paint&amp;psc=1</t>
  </si>
  <si>
    <t>RVG836-181210-0002-1</t>
  </si>
  <si>
    <t>Clip</t>
  </si>
  <si>
    <t>夹子</t>
  </si>
  <si>
    <t>金属、塑料Metal plastic</t>
  </si>
  <si>
    <t>工具tool</t>
  </si>
  <si>
    <t>https://www.amazon.es/piezas-Tienda-Tornillo-prueba-Accesorio/dp/B07BP11XVL/ref=sr_1_cc_2?s=aps&amp;ie=UTF8&amp;qid=1525487146&amp;sr=1-2-catcorr&amp;keywords=Clip+a+prueba+de+viento+de+la+tienda</t>
  </si>
  <si>
    <t>Leaf target</t>
  </si>
  <si>
    <t>叶靶</t>
  </si>
  <si>
    <t>PUPU</t>
  </si>
  <si>
    <t>配件Accessories</t>
  </si>
  <si>
    <t>https://www.amazon.com/Taekwondo-Durable-Target-Kickboxing-Training-Red/dp/B06Y2WR1LK/ref=sr_1_fkmr0_1?s=sporting-goods&amp;ie=UTF8&amp;qid=1543916289&amp;sr=1-1-fkmr0&amp;keywords=Taekwondo+curved+double-leaf+target</t>
  </si>
  <si>
    <t>RVG836-181210-0002-2</t>
  </si>
  <si>
    <t>plastic cup</t>
  </si>
  <si>
    <t>塑料杯</t>
  </si>
  <si>
    <t>塑料plastic</t>
  </si>
  <si>
    <t>置物Storage</t>
  </si>
  <si>
    <t>https://www.amazon.it/plastica-trasparente-alimentari-Contenitori-dimensione/dp/B06X186CRX/ref=pd_sbs_201_3?_encoding=UTF8&amp;pd_rd_i=B06X186CRX&amp;pd_rd_r=77d14396-5f2d-11e8-a6b6-e9dc1ff8f7d6&amp;pd_rd_w=yo8JH</t>
  </si>
  <si>
    <t>Hanger</t>
  </si>
  <si>
    <t>挂架</t>
  </si>
  <si>
    <t>铁iron</t>
  </si>
  <si>
    <t>https://www.ebay.com/itm/Multi-function-Kitchen-Storage-Rack-Cupboard-Hanging-Hook-Hanger-Sundries-Holder-/202254071245?oid=252810675055</t>
  </si>
  <si>
    <t>RVG836-181210-0002-3</t>
  </si>
  <si>
    <t>Armor</t>
  </si>
  <si>
    <t>磨甲器</t>
  </si>
  <si>
    <t>ABSABS</t>
  </si>
  <si>
    <t>https://www.amazon.com/Hacloser-Electric-Clippers-Manicure-Scissors/dp/B078MHB3G3/ref=sr_1_8_a_it?ie=UTF8&amp;qid=1544433667&amp;sr=8-8&amp;keywords=Electric+baby+nail+scissors+nail+polisher</t>
  </si>
  <si>
    <t>Foot protection</t>
  </si>
  <si>
    <t>护脚</t>
  </si>
  <si>
    <t>防护Protection</t>
  </si>
  <si>
    <t>https://www.amazon.de/dp/B077GQBJG4/ref=sspa_dk_detail_4?psc=1</t>
  </si>
  <si>
    <t>Arm guard</t>
  </si>
  <si>
    <t>护臂</t>
  </si>
  <si>
    <t>尼龙nylon</t>
  </si>
  <si>
    <t>https://www.amazon.it/Alleviare-Traspirante-Epicondilite-Indolenzimento-Muscolaredel/dp/B07BYSZ2VK/ref=pd_sbs_364_30?_encoding=UTF8&amp;psc=1&amp;refRID=KYHRDCQ3W7GRTYKSAJAN</t>
  </si>
  <si>
    <t>RVG836-181210-0002-4</t>
  </si>
  <si>
    <t>Finger</t>
  </si>
  <si>
    <t>护指</t>
  </si>
  <si>
    <t>布cloth</t>
  </si>
  <si>
    <t>https://www.amazon.de/Fingerschiene-Gegenst%C3%BCtze-tenosynovity-verstellbare-innovativen/dp/B077MJY3HD/ref=sr_1_3?ie=UTF8&amp;qid=1525937723&amp;sr=8-3&amp;keywords=verstellbar+Fingerschiene+Brace</t>
  </si>
  <si>
    <t>Slipcover</t>
  </si>
  <si>
    <t>沙发套</t>
  </si>
  <si>
    <t>氨纶Spandex</t>
  </si>
  <si>
    <t>https://www.amazon.es/protector-slipcover-el%C3%A1stico-plegable-cubierta/dp/B076KRXN27/ref=sr_1_2?s=kitchen&amp;ie=UTF8&amp;qid=1525778100&amp;sr=1-2&amp;keywords=Cubierta+del+sof%C3%A1+el%C3%A1stico</t>
  </si>
  <si>
    <t>vest</t>
  </si>
  <si>
    <t>背心</t>
  </si>
  <si>
    <t>穿戴Wear</t>
  </si>
  <si>
    <t>https://www.amazon.de/gp/slredirect/picassoRedirect.html/ref=sspa_dk_detail_3?ie=UTF8&amp;adId=A10423032WO6ZUL9WOY66&amp;qualifier=1525491465&amp;id=7321720462760423&amp;widgetName=sp_detail&amp;url=%2Fdp%2FB074GT3DCK%2F</t>
  </si>
  <si>
    <t>RVG836-181210-0002-5</t>
  </si>
  <si>
    <t>Stainless steel needle</t>
  </si>
  <si>
    <t>不锈钢针</t>
  </si>
  <si>
    <t>不锈钢stainless steel</t>
  </si>
  <si>
    <t>https://www.amazon.com/Extractor-Tool-TIMLand-Professional-Blackheads-Double-ended/dp/B07FNSD8NG/ref=sr_1_5?ie=UTF8&amp;qid=1544433654&amp;sr=8-5&amp;keywords=Stainless+steel+acne+needle+set+acne+pick+acne+needle+acne+needle+7+sets</t>
  </si>
  <si>
    <t>Foot cover</t>
  </si>
  <si>
    <t>脚套</t>
  </si>
  <si>
    <t>硅胶Silica gel</t>
  </si>
  <si>
    <t>https://www.amazon.es/Piezas-Corrector-Juanete-por-COMPRESSX/dp/B01LWLPJOO/ref=pd_bxgy_121_img_2?_encoding=UTF8&amp;pd_rd_i=B01LWLPJOO&amp;pd_rd_r=af4a361b-621d-11e8-8278-3736ec2a25e0&amp;pd_rd_w=LHCcu&amp;pd_rd_wg=W</t>
  </si>
  <si>
    <t>RVG836-181210-0002-6</t>
  </si>
  <si>
    <t>https://www.amazon.com/Camouflage-Tactical-Protective-Seamless-N-strike/dp/B01M5D1BIO/ref=sr_1_2?ie=UTF8&amp;qid=1544433617&amp;sr=8-2&amp;keywords=Camouflage+tactical+vest+soft+bullet+tactical+equipment+set</t>
  </si>
  <si>
    <t>RVG836-181210-0002-7</t>
  </si>
  <si>
    <t>Drying rack</t>
  </si>
  <si>
    <t>晾衣架</t>
  </si>
  <si>
    <t>https://es.aliexpress.com/store/product/Stainless-Steel-Wall-Hanger-Retractable-Indoor-Clothes-Hanger-Magic-Foldable-Drying-Rack-Waterproof-Clothes-Towel-Rack/1504995_32706428681.html?spm=2114.12010615.0.0.450737453uH8W5</t>
  </si>
  <si>
    <t>Wick</t>
  </si>
  <si>
    <t>灯芯</t>
  </si>
  <si>
    <t>棉cotton</t>
  </si>
  <si>
    <t>https://www.amazon.de/Docht-%C3%96llampe-Ollampe-Lampendocht-36PC/dp/B071J5FLD6/ref=sr_1_fkmr2_2?ie=UTF8&amp;qid=1525487128&amp;sr=8-2-fkmr2&amp;keywords=Hitzebest%C3%A4ndige+%C3%96llampe+Docht</t>
  </si>
  <si>
    <t>Shoulderpad</t>
  </si>
  <si>
    <t>护肩</t>
  </si>
  <si>
    <t>https://www.amazon.co.uk/Shoulder-Adjustable-Dislocated-Neoprene-Recovery/dp/B071ZSCC9C/ref=sr_1_2_sspa?s=sports&amp;ie=UTF8&amp;qid=1534730807&amp;sr=1-2-spons&amp;keywords=Shoulder+Support+Brace+Strap&amp;psc=1</t>
  </si>
  <si>
    <t>RVG836-181210-0002-8</t>
  </si>
  <si>
    <t>Vest</t>
  </si>
  <si>
    <t>马甲</t>
  </si>
  <si>
    <t>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</t>
  </si>
  <si>
    <t>RVG836-181210-0002-9</t>
  </si>
  <si>
    <t>gloves</t>
  </si>
  <si>
    <t>手套</t>
  </si>
  <si>
    <t>https://www.amazon.co.uk/dp/B01NBA7W27</t>
  </si>
  <si>
    <t>https://www.amazon.fr/Overmont-Bouclier-40x20x10cm-entra%C3%AEnement-T%C3%A6kwondo/dp/B074K8LG4L/ref=pd_sim_200_1?_encoding=UTF8&amp;refRID=Y6A28JABKNP5P3NYZKTR</t>
  </si>
  <si>
    <t>Bracers</t>
  </si>
  <si>
    <t>护腕</t>
  </si>
  <si>
    <t>潜水布料Diving cloth</t>
  </si>
  <si>
    <t>https://www.amazon.it/Antiscivolo-Regolabile-Gomitiera-Pallacanestro-Riabilitazione/dp/B071FZW5CG/ref=pd_cp_200_1?_encoding=UTF8&amp;psc=1&amp;refRID=TJSYKHHVZ1KJF8CCJJG4</t>
  </si>
  <si>
    <t>RVG836-181210-0002-10</t>
  </si>
  <si>
    <t>混纺Blended</t>
  </si>
  <si>
    <t>RVG836-181210-0002-11</t>
  </si>
  <si>
    <t>RVG836-181210-0002-12</t>
  </si>
  <si>
    <t>涤纶Polyester</t>
  </si>
  <si>
    <t>RVG836-181210-0002-13</t>
  </si>
  <si>
    <t>RVG836-181210-0002-14</t>
  </si>
  <si>
    <t>Finger band</t>
  </si>
  <si>
    <t>护指带</t>
  </si>
  <si>
    <t>https://www.amazon.de/iZoeL-Korrektur-Hammerzeh-Korrekturschiene-Ballenschutz/dp/B071113X92/ref=sr_1_11?ie=UTF8&amp;qid=1522315918&amp;sr=8-11&amp;keywords=Bunion+Korrektur+Hallux+Valgus</t>
  </si>
  <si>
    <t>Buckle</t>
  </si>
  <si>
    <t>卡扣</t>
  </si>
  <si>
    <t>https://www.amazon.com/Retainer-Plastic-Fasteners-YYINGG-Chrysler/dp/B07CWVP2N7/ref=sr_1_2?ie=UTF8&amp;qid=1544433428&amp;sr=8-2&amp;keywords=Car+lining+buckle</t>
  </si>
  <si>
    <t>Sling</t>
  </si>
  <si>
    <t>吊带</t>
  </si>
  <si>
    <t>潜水布、网布Diving cloth, mesh cloth</t>
  </si>
  <si>
    <t>https://www.amazon.it/Supporto-Braccio-Bambino-dellAvambraccio-Immobilizzatore/dp/B077NWPH8P/ref=pd_sbs_121_9?_encoding=UTF8&amp;psc=1&amp;refRID=M58G7JN0RBSFHJ091Q9D</t>
  </si>
  <si>
    <t>RVG836-181210-0002-15</t>
  </si>
  <si>
    <t>RVG836-181210-0002-16</t>
  </si>
  <si>
    <t>Mask</t>
  </si>
  <si>
    <t>面罩</t>
  </si>
  <si>
    <t>潜水服材料Diving suit material</t>
  </si>
  <si>
    <t>保暖Keep warm</t>
  </si>
  <si>
    <t>https://www.amazon.es/Montar-Prueba-Viento-Caliente-m%C3%A1scara/dp/B07KSV7RLB/ref=sr_1_7?s=electronics&amp;ie=UTF8&amp;qid=1544150815&amp;sr=1-7&amp;keywords=Outdoor+riding+mask</t>
  </si>
  <si>
    <t>https://www.amazon.fr/Coudi%C3%A8re-Tennis-Compression-R%C3%A9glable-R%C3%A9cup%C3%A9ration-Musculaire/dp/B071DNTRXZ/ref=sr_1_cc_1?s=aps&amp;ie=UTF8&amp;qid=1525850578&amp;sr=1-1-catcorr&amp;keywords=R%C3%A9glable+Co</t>
  </si>
  <si>
    <t>RVG836-181210-0002-17</t>
  </si>
  <si>
    <t>https://www.amazon.it/WINOMO-Copridivano-Copertine-Elasticit%C3%A0-Protezione/dp/B075J9BM67/ref=pd_sbs_86_1?_encoding=UTF8&amp;psc=1&amp;refRID=53BJPGS1NB6266WPXFG7</t>
  </si>
  <si>
    <t>RVG836-181210-0002-18</t>
  </si>
  <si>
    <t>RVG836-181210-0002-19</t>
  </si>
  <si>
    <t>humidifier</t>
  </si>
  <si>
    <t>加湿器</t>
  </si>
  <si>
    <t>BAS+PPBAS+PP</t>
  </si>
  <si>
    <t>加湿Humidification</t>
  </si>
  <si>
    <t>https://www.amazon.com/KROWNER-Mini-Humidifier-Office-Charge/dp/B07B3QDCMX/ref=sr_1_7?ie=UTF8&amp;qid=1544433404&amp;sr=8-7&amp;keywords=USB+mini+light+humidifier+dark+brown</t>
  </si>
  <si>
    <t>FBA15C5RQS3LU000001</t>
  </si>
  <si>
    <t>luggage rack</t>
  </si>
  <si>
    <t>行李架</t>
  </si>
  <si>
    <t>金属metal</t>
  </si>
  <si>
    <t>https://www.amazon.es/dp/B07KG72Z3Q</t>
  </si>
  <si>
    <t>handguard</t>
  </si>
  <si>
    <t>护手</t>
  </si>
  <si>
    <t>碳纤维+铝合金Carbon fiber+Aluminum Alloy</t>
  </si>
  <si>
    <t>摩托车防摔护手Motorcycle carbon fiber hand guard</t>
  </si>
  <si>
    <t>https://www.amazon.es/dp/B07H5D31CV</t>
  </si>
  <si>
    <t>铝合金Aluminum alloy</t>
  </si>
  <si>
    <t>摩托车防摔护手Motorcycle hand guard</t>
  </si>
  <si>
    <t>https://www.amazon.es/dp/B07H5CXW8P</t>
  </si>
  <si>
    <t>Decorative cover</t>
  </si>
  <si>
    <t>装饰盖</t>
  </si>
  <si>
    <t>装饰decoration</t>
  </si>
  <si>
    <t>https://www.amazon.es/dp/B07K3WP6V9</t>
  </si>
  <si>
    <t>FBA15C5RQS3LU000002</t>
  </si>
  <si>
    <r>
      <t>金属</t>
    </r>
    <r>
      <rPr>
        <sz val="10"/>
        <color theme="1"/>
        <rFont val="Arial"/>
        <family val="2"/>
      </rPr>
      <t>metal</t>
    </r>
  </si>
  <si>
    <r>
      <t>配件</t>
    </r>
    <r>
      <rPr>
        <sz val="10"/>
        <color theme="1"/>
        <rFont val="Arial"/>
        <family val="2"/>
      </rPr>
      <t>Accessories</t>
    </r>
  </si>
  <si>
    <t>wrench</t>
  </si>
  <si>
    <t>扳手</t>
  </si>
  <si>
    <t>https://www.amazon.es/dp/B07F7ZS9W8</t>
  </si>
  <si>
    <t>Air conditioning panel</t>
  </si>
  <si>
    <t>空调面板</t>
  </si>
  <si>
    <t>碳纤维carbon fibre</t>
  </si>
  <si>
    <t>内饰trim</t>
  </si>
  <si>
    <t>https://www.amazon.es/dp/B07JFH9HZH</t>
  </si>
  <si>
    <t>Exhaust gas cover</t>
  </si>
  <si>
    <t>废气盖</t>
  </si>
  <si>
    <r>
      <t>塑料</t>
    </r>
    <r>
      <rPr>
        <sz val="10"/>
        <color theme="1"/>
        <rFont val="Arial"/>
        <family val="2"/>
      </rPr>
      <t xml:space="preserve"> plastic</t>
    </r>
  </si>
  <si>
    <r>
      <t>配件</t>
    </r>
    <r>
      <rPr>
        <sz val="10"/>
        <color theme="1"/>
        <rFont val="Arial"/>
        <family val="2"/>
      </rPr>
      <t>parts</t>
    </r>
  </si>
  <si>
    <t>https://www.amazon.es/dp/B07HB4RX6C</t>
  </si>
  <si>
    <r>
      <t>铝合金</t>
    </r>
    <r>
      <rPr>
        <sz val="10"/>
        <color theme="1"/>
        <rFont val="Arial"/>
        <family val="2"/>
      </rPr>
      <t>Aluminum alloy</t>
    </r>
  </si>
  <si>
    <r>
      <t>装饰</t>
    </r>
    <r>
      <rPr>
        <sz val="10"/>
        <color theme="1"/>
        <rFont val="Arial"/>
        <family val="2"/>
      </rPr>
      <t>decoration</t>
    </r>
  </si>
  <si>
    <t>exhaust pipe</t>
  </si>
  <si>
    <t>排气管</t>
  </si>
  <si>
    <t>https://www.amazon.es/dp/B07K8MG51W</t>
  </si>
  <si>
    <t>FBA15C5TKS5YU000001</t>
  </si>
  <si>
    <t>Motorcycle headlights</t>
  </si>
  <si>
    <t>摩托车大灯</t>
  </si>
  <si>
    <t>金属+塑料Metal + plastic</t>
  </si>
  <si>
    <t>https://www.amazon.it/gp/product/B0778FYT5S</t>
  </si>
  <si>
    <t>Speaker Network</t>
  </si>
  <si>
    <t>喇叭网</t>
  </si>
  <si>
    <t>https://www.amazon.it/dp/B07F7ZXM8M</t>
  </si>
  <si>
    <t>Shift handle</t>
  </si>
  <si>
    <t>换挡手柄</t>
  </si>
  <si>
    <t>金属，塑料Metal plastic</t>
  </si>
  <si>
    <t>汽车零配件automobile parts</t>
  </si>
  <si>
    <t>https://www.amazon.es/gp/product/B07BHN83BW</t>
  </si>
  <si>
    <t>handle</t>
  </si>
  <si>
    <t>手柄</t>
  </si>
  <si>
    <t>摩托车刹车泵Motorcycle brake pump</t>
  </si>
  <si>
    <t>https://www.amazon.it/dp/B07DBWK9LT</t>
  </si>
  <si>
    <t>Shift knob</t>
  </si>
  <si>
    <t>换挡旋钮</t>
  </si>
  <si>
    <t>PVCPVC</t>
  </si>
  <si>
    <r>
      <t>换挡杆</t>
    </r>
    <r>
      <rPr>
        <sz val="10"/>
        <color theme="1"/>
        <rFont val="Arial"/>
        <family val="2"/>
      </rPr>
      <t>Shift lever</t>
    </r>
  </si>
  <si>
    <t>https://www.amazon.co.uk/KKmoon-WQE9112418240704NL-Speed-Insert-Replacement/dp/B01LVTWO97/ref=pd_sbs_263_2?_encoding=UTF8&amp;pd_rd_i=B01LVTWO97&amp;pd_rd_r=9adbef92-e65a-11e8-ac8a-91802bc767b5&amp;pd_rd_w=k3YXm&amp;</t>
  </si>
  <si>
    <t>FBA15C5RYJ4LU000001</t>
  </si>
  <si>
    <t>nflator</t>
  </si>
  <si>
    <t>打气筒</t>
  </si>
  <si>
    <t>打气筒Inflator</t>
  </si>
  <si>
    <t>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</t>
  </si>
  <si>
    <t>handlebar</t>
  </si>
  <si>
    <t>车把</t>
  </si>
  <si>
    <t>https://www.amazon.co.uk/Hamimelon-Aluminium-Mountain-Bicycle-Handlebar/dp/B074GRHRVK/ref=sr_1_3?ie=UTF8&amp;qid=1544623774&amp;sr=8-3&amp;keywords=handlebar</t>
  </si>
  <si>
    <t>FBA15C5V0D6JU000001</t>
  </si>
  <si>
    <t>Storage Box</t>
  </si>
  <si>
    <t>收纳盒</t>
  </si>
  <si>
    <t>https://www.amazon.it/dp/B078RLT6KY/ref=sspa_dk_detail_1?psc=1</t>
  </si>
  <si>
    <t>strap</t>
  </si>
  <si>
    <t>背带</t>
  </si>
  <si>
    <t>https://www.amazon.de/dp/B01N6A8MBH</t>
  </si>
  <si>
    <t>FBA15C5V0D6JU000002</t>
  </si>
  <si>
    <t>LED light</t>
  </si>
  <si>
    <r>
      <t>LED</t>
    </r>
    <r>
      <rPr>
        <sz val="10"/>
        <color theme="1"/>
        <rFont val="宋体"/>
        <charset val="134"/>
      </rPr>
      <t>灯</t>
    </r>
  </si>
  <si>
    <t>塑料+金属plastic+metal</t>
  </si>
  <si>
    <t>纹眉纹绣灯  也可以做书灯tattoo lamp</t>
  </si>
  <si>
    <t>https://www.amazon.es/LUXJET-iluminaci%C3%B3n-regulable-infantiles-escritorio/dp/B075MWWGWD/ref=pd_sbs_201_4?_encoding=UTF8&amp;psc=1&amp;refRID=FDVE0JHBGF7NQY82RQX1</t>
  </si>
  <si>
    <t>Dustproof wheel cover</t>
  </si>
  <si>
    <t>防尘轮套</t>
  </si>
  <si>
    <r>
      <t>涤纶</t>
    </r>
    <r>
      <rPr>
        <sz val="10"/>
        <color theme="1"/>
        <rFont val="Arial"/>
        <family val="2"/>
      </rPr>
      <t>polyster</t>
    </r>
  </si>
  <si>
    <r>
      <t>婴儿推车伞车防脏防尘轮套</t>
    </r>
    <r>
      <rPr>
        <sz val="10"/>
        <color theme="1"/>
        <rFont val="Arial"/>
        <family val="2"/>
      </rPr>
      <t>Baby Kid Pram Stroller Wheel Cover</t>
    </r>
  </si>
  <si>
    <t>https://www.amazon.co.uk/Jia-Inc-Universal-Pushchair-Diamteter/dp/B076KKXDYC/ref=pd_day0_c_75_27?_encoding=UTF8&amp;pd_rd_i=B076KJPDML&amp;pd_rd_r=31c8467f-e649-11e8-84c2-9b8c2383eeea&amp;pd_rd_w=eIP2p&amp;pd_rd_wg=6</t>
  </si>
  <si>
    <t>Eyelash brush</t>
  </si>
  <si>
    <t>睫毛刷</t>
  </si>
  <si>
    <r>
      <t>塑料</t>
    </r>
    <r>
      <rPr>
        <sz val="10"/>
        <color theme="1"/>
        <rFont val="Arial"/>
        <family val="2"/>
      </rPr>
      <t>plastic</t>
    </r>
  </si>
  <si>
    <r>
      <t>睫毛刷</t>
    </r>
    <r>
      <rPr>
        <sz val="10"/>
        <color theme="1"/>
        <rFont val="Arial"/>
        <family val="2"/>
      </rPr>
      <t xml:space="preserve">Eyelash Clean Up Brush </t>
    </r>
  </si>
  <si>
    <t>https://www.amazon.co.uk/Eyelash-Crystal-Spoolie-Cosmetic-Applicator/dp/B07G9C1WPN/ref=sr_1_13_a_it?ie=UTF8&amp;qid=1544623837&amp;sr=8-13&amp;keywords=Eyelash+brush</t>
  </si>
  <si>
    <t>Shoehorn</t>
  </si>
  <si>
    <t>鞋拔</t>
  </si>
  <si>
    <r>
      <t>不锈钢</t>
    </r>
    <r>
      <rPr>
        <sz val="10"/>
        <color theme="1"/>
        <rFont val="Arial"/>
        <family val="2"/>
      </rPr>
      <t>Stainless Steel</t>
    </r>
  </si>
  <si>
    <r>
      <t>个人护理</t>
    </r>
    <r>
      <rPr>
        <sz val="10"/>
        <color theme="1"/>
        <rFont val="Arial"/>
        <family val="2"/>
      </rPr>
      <t>personal care</t>
    </r>
  </si>
  <si>
    <t>https://www.amazon.co.uk/Handled-Shoehorn-Stainless-Hanging-Handmade/dp/B078WLR4SF/ref=sr_1_14?ie=UTF8&amp;qid=1544623865&amp;sr=8-14&amp;keywords=Shoehorn</t>
  </si>
  <si>
    <t>Agitator</t>
  </si>
  <si>
    <t>搅拌器</t>
  </si>
  <si>
    <t>https://www.amazon.co.uk/Multi-Kinetic-Agitator-Plastic-Beater/dp/B07F7QZ68L/ref=sr_1_14?ie=UTF8&amp;qid=1544623900&amp;sr=8-14&amp;keywords=Agitator</t>
  </si>
  <si>
    <t>Leggings</t>
  </si>
  <si>
    <t>护腿</t>
  </si>
  <si>
    <r>
      <t>潜水布料</t>
    </r>
    <r>
      <rPr>
        <sz val="10"/>
        <color theme="1"/>
        <rFont val="Arial"/>
        <family val="2"/>
      </rPr>
      <t>Diving cloth</t>
    </r>
  </si>
  <si>
    <r>
      <t>防护</t>
    </r>
    <r>
      <rPr>
        <sz val="10"/>
        <color theme="1"/>
        <rFont val="Arial"/>
        <family val="2"/>
      </rPr>
      <t>Protection</t>
    </r>
  </si>
  <si>
    <t>https://www.amazon.fr/dp/B01N5QCX4U/ref=sspa_dk_detail_0?psc=1</t>
  </si>
  <si>
    <t>FBA15C5V0D6JU000003</t>
  </si>
  <si>
    <t>Table bar chair yarn</t>
  </si>
  <si>
    <t>桌旗椅纱</t>
  </si>
  <si>
    <r>
      <t>纱</t>
    </r>
    <r>
      <rPr>
        <sz val="10"/>
        <color theme="1"/>
        <rFont val="Arial"/>
        <family val="2"/>
      </rPr>
      <t>yarn</t>
    </r>
  </si>
  <si>
    <t>https://www.amazon.it/Venkaite-Runner-matrimonio-Festival-Decorazione/dp/B06XTQ8869/ref=sr_1_5?s=toys&amp;ie=UTF8&amp;qid=1525923784&amp;sr=1-5&amp;keywords=Runner</t>
  </si>
  <si>
    <t>Toe separation sleeve</t>
  </si>
  <si>
    <t>脚趾分离套</t>
  </si>
  <si>
    <r>
      <t>硅胶</t>
    </r>
    <r>
      <rPr>
        <sz val="10"/>
        <color theme="1"/>
        <rFont val="Arial"/>
        <family val="2"/>
      </rPr>
      <t>Silica gel</t>
    </r>
  </si>
  <si>
    <t>belt</t>
  </si>
  <si>
    <t>束腰带</t>
  </si>
  <si>
    <r>
      <t>聚酯纤维、松紧带</t>
    </r>
    <r>
      <rPr>
        <sz val="10"/>
        <color theme="1"/>
        <rFont val="Arial"/>
        <family val="2"/>
      </rPr>
      <t>Polyester fiber, elastic band</t>
    </r>
  </si>
  <si>
    <t>https://www.amazon.fr/ZJchao-%C3%A9lastique-tactique-pistolet-munitions/dp/B01FM09IHS/ref=pd_sim_200_1?_encoding=UTF8&amp;psc=1&amp;refRID=55Q4EKYSH04GHJTAN64G</t>
  </si>
  <si>
    <r>
      <t>锦纶</t>
    </r>
    <r>
      <rPr>
        <sz val="10"/>
        <color theme="1"/>
        <rFont val="Arial"/>
        <family val="2"/>
      </rPr>
      <t>Nylon</t>
    </r>
  </si>
  <si>
    <r>
      <t>防尘轮套</t>
    </r>
    <r>
      <rPr>
        <sz val="10"/>
        <color theme="1"/>
        <rFont val="Arial"/>
        <family val="2"/>
      </rPr>
      <t>Dustproof wheel cover</t>
    </r>
  </si>
  <si>
    <t>https://www.amazon.de/Universal-Schutz-Wheels-Kinderwagen-hinten/dp/B00M1OW32G/ref=sr_1_fkmr0_4?ie=UTF8&amp;qid=1529052580&amp;sr=8-4-fkmr0&amp;keywords=Kinderwagen+Buggy+Wheels+Cover+Reifenschutz</t>
  </si>
  <si>
    <t>FBA15C60JVNWU000001</t>
  </si>
  <si>
    <t>fire gun</t>
  </si>
  <si>
    <t>老款喷火枪</t>
  </si>
  <si>
    <t>不锈钢 Stainless steel</t>
  </si>
  <si>
    <t>点火和加热 Ignition and heating</t>
  </si>
  <si>
    <t>https://www.amazon.de/dp/B076MP45KL</t>
  </si>
  <si>
    <t>FBA15C60JVNWU000002</t>
  </si>
  <si>
    <t>FBA15C60JVNWU000003</t>
  </si>
  <si>
    <t>FBA15C60JVNWU000004</t>
  </si>
  <si>
    <t>FBA15C60JVNWU000005</t>
  </si>
  <si>
    <t>FBA15C60JVNWU000006</t>
  </si>
  <si>
    <t>back correction</t>
  </si>
  <si>
    <t>背部矫正带</t>
  </si>
  <si>
    <t>氯丁橡胶Cotton+泡棉Neoprene + foamed</t>
  </si>
  <si>
    <t>矫正 Correction</t>
  </si>
  <si>
    <t>https://www.amazon.de/dp/B07CHJ239X</t>
  </si>
  <si>
    <t>FBA15C60JVNWU000007</t>
  </si>
  <si>
    <t>FBA15C60JVNWU000008</t>
  </si>
  <si>
    <t>FBA15C60JVNWU000009</t>
  </si>
  <si>
    <t>FBA15C5Y7QV6U000001</t>
  </si>
  <si>
    <t>3D printer nozzles</t>
  </si>
  <si>
    <r>
      <t>3D</t>
    </r>
    <r>
      <rPr>
        <sz val="10"/>
        <color theme="1"/>
        <rFont val="宋体"/>
        <charset val="134"/>
      </rPr>
      <t>打印机喷嘴</t>
    </r>
  </si>
  <si>
    <t>Lictin</t>
  </si>
  <si>
    <t>黄铜</t>
  </si>
  <si>
    <t>3D打印</t>
  </si>
  <si>
    <t>https://www.amazon.de/Anpro-Extruder-Drucker-Messing-Druckk%C3%B6pfe/dp/B07BMPWZHZ/ref=sr_1_115?ie=UTF8&amp;qid=1544192067&amp;sr=8-115&amp;keywords=Anpro</t>
  </si>
  <si>
    <t>Candy bag</t>
  </si>
  <si>
    <t>糖果袋子</t>
  </si>
  <si>
    <t>Anpro</t>
  </si>
  <si>
    <r>
      <t>聚乙烯</t>
    </r>
    <r>
      <rPr>
        <sz val="10"/>
        <color theme="1"/>
        <rFont val="Calibri"/>
        <family val="2"/>
      </rPr>
      <t>PP</t>
    </r>
  </si>
  <si>
    <t>装东西</t>
  </si>
  <si>
    <t>https://www.amazon.de/Anpro-S%C3%BC%C3%9Figkeitent%C3%BCten-Bindestreifen-transparente-Verpackung/dp/B075V1Z57N/ref=sr_1_23?ie=UTF8&amp;qid=1544191877&amp;sr=8-23&amp;keywords=Anpro</t>
  </si>
  <si>
    <t>FBA15C5Y7QV6U000002</t>
  </si>
  <si>
    <t>FBA15C5Y7QV6U000003</t>
  </si>
  <si>
    <t>FBA15C5Y7QV6U000004</t>
  </si>
  <si>
    <t>FBA15C5Y7QV6U000005</t>
  </si>
  <si>
    <t>FBA15C61K2KDU000001</t>
  </si>
  <si>
    <t>Melodica</t>
  </si>
  <si>
    <t>口风琴</t>
  </si>
  <si>
    <t>ABS</t>
  </si>
  <si>
    <r>
      <t>Musical instrument playing</t>
    </r>
    <r>
      <rPr>
        <sz val="10"/>
        <color theme="1"/>
        <rFont val="Calibri"/>
        <family val="2"/>
      </rPr>
      <t>(</t>
    </r>
    <r>
      <rPr>
        <sz val="10"/>
        <color theme="1"/>
        <rFont val="宋体"/>
        <charset val="134"/>
      </rPr>
      <t>乐器演奏</t>
    </r>
    <r>
      <rPr>
        <sz val="10"/>
        <color theme="1"/>
        <rFont val="Calibri"/>
        <family val="2"/>
      </rPr>
      <t>)</t>
    </r>
  </si>
  <si>
    <t>http://www.amazon.de/gp/product/B07GV6GRW2</t>
  </si>
  <si>
    <t>FBA15C61K2KDU000002</t>
  </si>
  <si>
    <t>FBA15C61K2KDU000003</t>
  </si>
  <si>
    <t>FBA15C5YW167U000001</t>
  </si>
  <si>
    <t>swimsuit</t>
  </si>
  <si>
    <t>泳衣</t>
  </si>
  <si>
    <t>Polyester</t>
  </si>
  <si>
    <t>WEAR</t>
  </si>
  <si>
    <t>https://www.amazon.co.uk/HUAANIUE-Sparkles-Camisole-Gymnastics-Costumes/dp/B07J9PXVHS/ref=lp_14764999031_1_11?srs=14764999031&amp;ie=UTF8&amp;qid=1543568234&amp;sr=8-11</t>
  </si>
  <si>
    <t>FBA15C5YW167U000002</t>
  </si>
  <si>
    <t>FBA15C5YW167U000003</t>
  </si>
  <si>
    <t>FBA15C623TPLU000001</t>
  </si>
  <si>
    <r>
      <t xml:space="preserve">石蜡
</t>
    </r>
    <r>
      <rPr>
        <sz val="10"/>
        <color theme="1"/>
        <rFont val="Arial"/>
        <family val="2"/>
      </rPr>
      <t>paraffin</t>
    </r>
  </si>
  <si>
    <t>painting
画画</t>
  </si>
  <si>
    <t>https://www.amazon.co.uk/Toddlers-Non-Toxic-Washable-Palm-Grip-Apicallife/dp/B07C1X7M4F/ref=sr_1_1_sspa?ie=UTF8&amp;qid=1531915639&amp;sr=8-1-spons&amp;keywords=finger+crayons&amp;psc=1</t>
  </si>
  <si>
    <t>FBA15C623TPLU000002</t>
  </si>
  <si>
    <t>FBA15C623TPLU000003</t>
  </si>
  <si>
    <t>FBA15C623TPLU000004</t>
  </si>
  <si>
    <t>FBA15C623TPLU000005</t>
  </si>
  <si>
    <t>FBA15C623TPLU000006</t>
  </si>
  <si>
    <t>FBA15C623TPLU000007</t>
  </si>
  <si>
    <t>FBA15C623TPLU000008</t>
  </si>
  <si>
    <t>eyebrow set</t>
  </si>
  <si>
    <t>修眉套装</t>
  </si>
  <si>
    <r>
      <t xml:space="preserve">不锈钢
</t>
    </r>
    <r>
      <rPr>
        <sz val="10"/>
        <color theme="1"/>
        <rFont val="Arial"/>
        <family val="2"/>
      </rPr>
      <t>stainless steel</t>
    </r>
  </si>
  <si>
    <t>beauty
美妆</t>
  </si>
  <si>
    <t>https://www.amazon.co.uk/Piece-Stainless-Eyebrow-Grooming-Bizarre-ly/dp/B017T7757C/ref=sr_1_11_a_it?ie=UTF8&amp;qid=1532687176&amp;sr=8-11&amp;keywords=eyebrow+kit</t>
  </si>
  <si>
    <t>FBA15C623TPLU000009</t>
  </si>
  <si>
    <t>FBA15C5Z5CY5U001</t>
  </si>
  <si>
    <t>Light Bulb</t>
  </si>
  <si>
    <t>灯泡</t>
  </si>
  <si>
    <t>N</t>
  </si>
  <si>
    <t>Aluminium and plastics 铝和塑料</t>
  </si>
  <si>
    <t>Home lighting家庭照明</t>
  </si>
  <si>
    <t>https://www.amazon.co.uk/dp/B074N1RL61</t>
  </si>
  <si>
    <t>FBA15C5Z5CY5U002</t>
  </si>
  <si>
    <t>FBA15C5Z5CY5U003</t>
  </si>
  <si>
    <t>https://www.amazon.co.uk/dp/B019SR27AG</t>
  </si>
  <si>
    <t>FBA15C5Z5CY5U004</t>
  </si>
  <si>
    <t>FBA15C5Z5CY5U005</t>
  </si>
  <si>
    <t>https://www.amazon.co.uk/dp/B07FZ1BZJM</t>
  </si>
  <si>
    <t>FBA15C5Z5CY5U006</t>
  </si>
  <si>
    <t>FBA15C5Z5CY5U007</t>
  </si>
  <si>
    <t>https://www.amazon.co.uk/dp/B01DJ1U1F0</t>
  </si>
  <si>
    <t>FBA15C5Z5CY5U008</t>
  </si>
  <si>
    <t xml:space="preserve">                      Total:</t>
  </si>
  <si>
    <t>TOTALLY PACKED IN</t>
  </si>
  <si>
    <t xml:space="preserve"> CASE ONLY</t>
  </si>
  <si>
    <t>TTL QTY.:</t>
  </si>
  <si>
    <t>TTL N.W.:</t>
  </si>
  <si>
    <t>TTL G.W.:</t>
  </si>
  <si>
    <t>唛头</t>
  </si>
  <si>
    <t>品名及规格</t>
  </si>
  <si>
    <r>
      <t xml:space="preserve"> </t>
    </r>
    <r>
      <rPr>
        <b/>
        <sz val="11"/>
        <rFont val="宋体"/>
        <charset val="134"/>
      </rPr>
      <t>数量</t>
    </r>
  </si>
  <si>
    <t>件数</t>
  </si>
  <si>
    <t>价格请填写实际价格</t>
  </si>
  <si>
    <t>英文品名</t>
  </si>
  <si>
    <t>中文品名</t>
  </si>
  <si>
    <t>品牌</t>
  </si>
  <si>
    <t>材质</t>
  </si>
  <si>
    <t>型号</t>
  </si>
  <si>
    <t>用途</t>
  </si>
  <si>
    <t>币别</t>
  </si>
  <si>
    <r>
      <t>图片</t>
    </r>
    <r>
      <rPr>
        <b/>
        <sz val="11"/>
        <rFont val="Calibri"/>
        <family val="2"/>
      </rPr>
      <t>$</t>
    </r>
    <r>
      <rPr>
        <b/>
        <sz val="11"/>
        <rFont val="宋体"/>
        <charset val="134"/>
      </rPr>
      <t>销售链接</t>
    </r>
  </si>
  <si>
    <t>15C626X7JU000001</t>
  </si>
  <si>
    <t>Kids Tactical Vest</t>
  </si>
  <si>
    <r>
      <t>橡胶</t>
    </r>
    <r>
      <rPr>
        <sz val="11"/>
        <color theme="1"/>
        <rFont val="Calibri"/>
        <family val="2"/>
      </rPr>
      <t>+</t>
    </r>
    <r>
      <rPr>
        <sz val="11"/>
        <color indexed="8"/>
        <rFont val="宋体"/>
        <charset val="134"/>
      </rPr>
      <t>尼龙</t>
    </r>
    <r>
      <rPr>
        <sz val="11"/>
        <color theme="1"/>
        <rFont val="Calibri"/>
        <family val="2"/>
      </rPr>
      <t>Rubber + nylon</t>
    </r>
  </si>
  <si>
    <r>
      <t>居家</t>
    </r>
    <r>
      <rPr>
        <sz val="11"/>
        <color theme="1"/>
        <rFont val="Calibri"/>
        <family val="2"/>
      </rPr>
      <t xml:space="preserve"> living at home</t>
    </r>
  </si>
  <si>
    <t xml:space="preserve"> B079HN3F1D</t>
  </si>
  <si>
    <t>15C626X7JU000002</t>
  </si>
  <si>
    <t>15C626X7JU000003</t>
  </si>
  <si>
    <t>15C626X7JU000004</t>
  </si>
  <si>
    <t>15C626X7JU000005</t>
  </si>
  <si>
    <t>15C626X7JU000006</t>
  </si>
  <si>
    <t>15C626X7JU000007</t>
  </si>
  <si>
    <t>15C626X7JU000008</t>
  </si>
  <si>
    <t>15C626X7JU000009</t>
  </si>
  <si>
    <t>15C626X7JU000010</t>
  </si>
  <si>
    <t>15C626X7JU000011</t>
  </si>
  <si>
    <t>15C626X7JU000012</t>
  </si>
  <si>
    <t>15C626X7JU000013</t>
  </si>
  <si>
    <t>15C626X7JU000014</t>
  </si>
  <si>
    <t>15C626X7JU000015</t>
  </si>
  <si>
    <t>15C64BKJ2U000001</t>
  </si>
  <si>
    <t>KITCHEN TORCH</t>
  </si>
  <si>
    <r>
      <t>合金</t>
    </r>
    <r>
      <rPr>
        <sz val="11"/>
        <color theme="1"/>
        <rFont val="Calibri"/>
        <family val="2"/>
      </rPr>
      <t xml:space="preserve">
aluminum</t>
    </r>
  </si>
  <si>
    <r>
      <t>家居</t>
    </r>
    <r>
      <rPr>
        <sz val="11"/>
        <color theme="1"/>
        <rFont val="Calibri"/>
        <family val="2"/>
      </rPr>
      <t xml:space="preserve">
Home product</t>
    </r>
  </si>
  <si>
    <t>B074T9LMNT</t>
  </si>
  <si>
    <t>SILICONE CASE</t>
  </si>
  <si>
    <r>
      <t>硅胶</t>
    </r>
    <r>
      <rPr>
        <sz val="11"/>
        <color theme="1"/>
        <rFont val="Calibri"/>
        <family val="2"/>
      </rPr>
      <t xml:space="preserve">
silicone</t>
    </r>
  </si>
  <si>
    <r>
      <t xml:space="preserve">Home and Garden
</t>
    </r>
    <r>
      <rPr>
        <sz val="11"/>
        <color indexed="8"/>
        <rFont val="宋体"/>
        <charset val="134"/>
      </rPr>
      <t>家居</t>
    </r>
  </si>
  <si>
    <t>B0798MWRDC</t>
  </si>
  <si>
    <t>15C64BKJ2U000002</t>
  </si>
  <si>
    <t>15C64BKJ2U000003</t>
  </si>
  <si>
    <t>15C64BKJ2U000004</t>
  </si>
  <si>
    <t>15C64BKJ2U000005</t>
  </si>
  <si>
    <t>15C64BKJ2U000006</t>
  </si>
  <si>
    <t>15C64BKJ2U000007</t>
  </si>
  <si>
    <t>15C64BKJ2U000008</t>
  </si>
  <si>
    <t>15C64BKJ2U000009</t>
  </si>
  <si>
    <t>15C64BKJ2U000010</t>
  </si>
  <si>
    <t>15C63YXGTU000001</t>
  </si>
  <si>
    <t>CRAYONS</t>
  </si>
  <si>
    <r>
      <t>石蜡</t>
    </r>
    <r>
      <rPr>
        <sz val="11"/>
        <color theme="1"/>
        <rFont val="Calibri"/>
        <family val="2"/>
      </rPr>
      <t xml:space="preserve">
paraffin</t>
    </r>
  </si>
  <si>
    <r>
      <t>画画</t>
    </r>
    <r>
      <rPr>
        <sz val="11"/>
        <color theme="1"/>
        <rFont val="Calibri"/>
        <family val="2"/>
      </rPr>
      <t xml:space="preserve">
painting</t>
    </r>
  </si>
  <si>
    <t xml:space="preserve"> B075FH22G4</t>
  </si>
  <si>
    <t>CLIP</t>
  </si>
  <si>
    <r>
      <t>金属、塑料</t>
    </r>
    <r>
      <rPr>
        <sz val="11"/>
        <color theme="1"/>
        <rFont val="Calibri"/>
        <family val="2"/>
      </rPr>
      <t>Metal plastic</t>
    </r>
  </si>
  <si>
    <r>
      <t>工具</t>
    </r>
    <r>
      <rPr>
        <sz val="11"/>
        <color theme="1"/>
        <rFont val="Calibri"/>
        <family val="2"/>
      </rPr>
      <t>tool</t>
    </r>
  </si>
  <si>
    <t xml:space="preserve"> B07BP11XVL</t>
  </si>
  <si>
    <t>Double kicking pad</t>
  </si>
  <si>
    <r>
      <t>配件</t>
    </r>
    <r>
      <rPr>
        <sz val="11"/>
        <color theme="1"/>
        <rFont val="Calibri"/>
        <family val="2"/>
      </rPr>
      <t>Accessories</t>
    </r>
  </si>
  <si>
    <t>B06XCLNGKQ</t>
  </si>
  <si>
    <t>PLASTIC CUP</t>
  </si>
  <si>
    <r>
      <t>塑料</t>
    </r>
    <r>
      <rPr>
        <sz val="11"/>
        <color theme="1"/>
        <rFont val="Calibri"/>
        <family val="2"/>
      </rPr>
      <t>plastic</t>
    </r>
  </si>
  <si>
    <r>
      <t>置物</t>
    </r>
    <r>
      <rPr>
        <sz val="11"/>
        <color theme="1"/>
        <rFont val="Calibri"/>
        <family val="2"/>
      </rPr>
      <t>Storage</t>
    </r>
  </si>
  <si>
    <t xml:space="preserve"> B01MUGST88</t>
  </si>
  <si>
    <t>Kitchen Storage Rack</t>
  </si>
  <si>
    <r>
      <t>铁</t>
    </r>
    <r>
      <rPr>
        <sz val="11"/>
        <color theme="1"/>
        <rFont val="Calibri"/>
        <family val="2"/>
      </rPr>
      <t>iron</t>
    </r>
  </si>
  <si>
    <t>Nail Clippers</t>
  </si>
  <si>
    <t>B078MHB3G3</t>
  </si>
  <si>
    <t xml:space="preserve">Hallux Valgus Corrector </t>
  </si>
  <si>
    <t>拇指外翻矫正器</t>
  </si>
  <si>
    <r>
      <t>防护</t>
    </r>
    <r>
      <rPr>
        <sz val="11"/>
        <color theme="1"/>
        <rFont val="Calibri"/>
        <family val="2"/>
      </rPr>
      <t>Protection</t>
    </r>
  </si>
  <si>
    <t xml:space="preserve"> B077GQBJG4</t>
  </si>
  <si>
    <t>ARM GUARD</t>
  </si>
  <si>
    <r>
      <t>尼龙</t>
    </r>
    <r>
      <rPr>
        <sz val="11"/>
        <color theme="1"/>
        <rFont val="Calibri"/>
        <family val="2"/>
      </rPr>
      <t>nylon</t>
    </r>
  </si>
  <si>
    <t>B07BYSZ2VK</t>
  </si>
  <si>
    <t>hand finger support</t>
  </si>
  <si>
    <r>
      <t>布</t>
    </r>
    <r>
      <rPr>
        <sz val="11"/>
        <color theme="1"/>
        <rFont val="Calibri"/>
        <family val="2"/>
      </rPr>
      <t>cloth</t>
    </r>
  </si>
  <si>
    <t>9506919000</t>
  </si>
  <si>
    <t xml:space="preserve"> B077MJY3HD</t>
  </si>
  <si>
    <t>SLIP COVER</t>
  </si>
  <si>
    <r>
      <t>氨纶</t>
    </r>
    <r>
      <rPr>
        <sz val="11"/>
        <color theme="1"/>
        <rFont val="Calibri"/>
        <family val="2"/>
      </rPr>
      <t>Spandex</t>
    </r>
  </si>
  <si>
    <t xml:space="preserve"> B076KRXN27</t>
  </si>
  <si>
    <r>
      <t>穿戴</t>
    </r>
    <r>
      <rPr>
        <sz val="11"/>
        <color theme="1"/>
        <rFont val="Calibri"/>
        <family val="2"/>
      </rPr>
      <t>Wear</t>
    </r>
  </si>
  <si>
    <t>B07HCGV7KF</t>
  </si>
  <si>
    <t>Blackheads Extractor Tool</t>
  </si>
  <si>
    <r>
      <t>不锈钢</t>
    </r>
    <r>
      <rPr>
        <sz val="11"/>
        <color theme="1"/>
        <rFont val="Calibri"/>
        <family val="2"/>
      </rPr>
      <t>stainless steel</t>
    </r>
  </si>
  <si>
    <t>B07FNSD8NG</t>
  </si>
  <si>
    <r>
      <t>硅胶</t>
    </r>
    <r>
      <rPr>
        <sz val="11"/>
        <color theme="1"/>
        <rFont val="Calibri"/>
        <family val="2"/>
      </rPr>
      <t>Silica gel</t>
    </r>
  </si>
  <si>
    <t>B01LWLPJOO</t>
  </si>
  <si>
    <t xml:space="preserve"> B01M5D1BIO</t>
  </si>
  <si>
    <t>HANGING RACK</t>
  </si>
  <si>
    <t>WICK</t>
  </si>
  <si>
    <r>
      <t>棉</t>
    </r>
    <r>
      <rPr>
        <sz val="11"/>
        <color theme="1"/>
        <rFont val="Calibri"/>
        <family val="2"/>
      </rPr>
      <t>cotton</t>
    </r>
  </si>
  <si>
    <t>B071J5FLD6</t>
  </si>
  <si>
    <t>Shoulder Support Brace</t>
  </si>
  <si>
    <t>B071ZSCC9C</t>
  </si>
  <si>
    <t>B07GNBC9J1</t>
  </si>
  <si>
    <t>Wrist Support</t>
  </si>
  <si>
    <t>B01NBA7W27</t>
  </si>
  <si>
    <t>ELBOW BRACERS</t>
  </si>
  <si>
    <t>护肘</t>
  </si>
  <si>
    <r>
      <t>潜水布料</t>
    </r>
    <r>
      <rPr>
        <sz val="11"/>
        <color theme="1"/>
        <rFont val="Calibri"/>
        <family val="2"/>
      </rPr>
      <t>Diving cloth</t>
    </r>
  </si>
  <si>
    <t xml:space="preserve"> B071FZW5CG</t>
  </si>
  <si>
    <r>
      <t>混纺</t>
    </r>
    <r>
      <rPr>
        <sz val="11"/>
        <color theme="1"/>
        <rFont val="Calibri"/>
        <family val="2"/>
      </rPr>
      <t>Blended</t>
    </r>
  </si>
  <si>
    <r>
      <t>涤纶</t>
    </r>
    <r>
      <rPr>
        <sz val="11"/>
        <color theme="1"/>
        <rFont val="Calibri"/>
        <family val="2"/>
      </rPr>
      <t>Polyester</t>
    </r>
  </si>
  <si>
    <t>B071113X92</t>
  </si>
  <si>
    <t>RIVETS</t>
  </si>
  <si>
    <t>铆钉</t>
  </si>
  <si>
    <t xml:space="preserve"> B07CWVP2N7</t>
  </si>
  <si>
    <t>splint ARM support brace</t>
  </si>
  <si>
    <r>
      <t>潜水布、网布</t>
    </r>
    <r>
      <rPr>
        <sz val="11"/>
        <color theme="1"/>
        <rFont val="Calibri"/>
        <family val="2"/>
      </rPr>
      <t>Diving cloth, mesh cloth</t>
    </r>
  </si>
  <si>
    <t xml:space="preserve"> B077NWPH8P</t>
  </si>
  <si>
    <t>MASK</t>
  </si>
  <si>
    <r>
      <t>潜水服材料</t>
    </r>
    <r>
      <rPr>
        <sz val="11"/>
        <color theme="1"/>
        <rFont val="Calibri"/>
        <family val="2"/>
      </rPr>
      <t>Diving suit material</t>
    </r>
  </si>
  <si>
    <r>
      <t>保暖</t>
    </r>
    <r>
      <rPr>
        <sz val="11"/>
        <color theme="1"/>
        <rFont val="Calibri"/>
        <family val="2"/>
      </rPr>
      <t>Keep warm</t>
    </r>
  </si>
  <si>
    <t>B07KSV7RLB</t>
  </si>
  <si>
    <t>B075J9BM67</t>
  </si>
  <si>
    <t>HUMIDIFIER</t>
  </si>
  <si>
    <r>
      <t>加湿</t>
    </r>
    <r>
      <rPr>
        <sz val="11"/>
        <color theme="1"/>
        <rFont val="Calibri"/>
        <family val="2"/>
      </rPr>
      <t>Humidification</t>
    </r>
  </si>
  <si>
    <t xml:space="preserve"> B07B3QDCMX</t>
  </si>
  <si>
    <t>15C5RQS3LU000001</t>
  </si>
  <si>
    <t>LUGGAGE RACK</t>
  </si>
  <si>
    <r>
      <t>金属</t>
    </r>
    <r>
      <rPr>
        <sz val="11"/>
        <color theme="1"/>
        <rFont val="Calibri"/>
        <family val="2"/>
      </rPr>
      <t>metal</t>
    </r>
  </si>
  <si>
    <t>B07KG72Z3Q</t>
  </si>
  <si>
    <t>Motorcycle Brake Clutch</t>
  </si>
  <si>
    <t>摩托车配件</t>
  </si>
  <si>
    <r>
      <t>碳纤维</t>
    </r>
    <r>
      <rPr>
        <sz val="11"/>
        <color theme="1"/>
        <rFont val="Calibri"/>
        <family val="2"/>
      </rPr>
      <t>+</t>
    </r>
    <r>
      <rPr>
        <sz val="11"/>
        <color indexed="8"/>
        <rFont val="宋体"/>
        <charset val="134"/>
      </rPr>
      <t>铝合金</t>
    </r>
    <r>
      <rPr>
        <sz val="11"/>
        <color theme="1"/>
        <rFont val="Calibri"/>
        <family val="2"/>
      </rPr>
      <t>Carbon fiber+Aluminum Alloy</t>
    </r>
  </si>
  <si>
    <r>
      <t>摩托车防摔护手</t>
    </r>
    <r>
      <rPr>
        <sz val="11"/>
        <color theme="1"/>
        <rFont val="Calibri"/>
        <family val="2"/>
      </rPr>
      <t>Motorcycle carbon fiber hand guard</t>
    </r>
  </si>
  <si>
    <t>B07H5D31CV</t>
  </si>
  <si>
    <r>
      <t>铝合金</t>
    </r>
    <r>
      <rPr>
        <sz val="11"/>
        <color theme="1"/>
        <rFont val="Calibri"/>
        <family val="2"/>
      </rPr>
      <t>Aluminum alloy</t>
    </r>
  </si>
  <si>
    <r>
      <t>摩托车防摔护手</t>
    </r>
    <r>
      <rPr>
        <sz val="11"/>
        <color theme="1"/>
        <rFont val="Calibri"/>
        <family val="2"/>
      </rPr>
      <t>Motorcycle hand guard</t>
    </r>
  </si>
  <si>
    <t>DECORATIVE COVER</t>
  </si>
  <si>
    <r>
      <t>装饰</t>
    </r>
    <r>
      <rPr>
        <sz val="11"/>
        <color theme="1"/>
        <rFont val="Calibri"/>
        <family val="2"/>
      </rPr>
      <t>decoration</t>
    </r>
  </si>
  <si>
    <t xml:space="preserve"> B07K3WP6V9</t>
  </si>
  <si>
    <t>15C5RQS3LU000002</t>
  </si>
  <si>
    <t>WRENCH</t>
  </si>
  <si>
    <t>8204110000</t>
  </si>
  <si>
    <t>B07F7ZS9W8</t>
  </si>
  <si>
    <t>Air Conditioner Outlet Panel Cover</t>
  </si>
  <si>
    <r>
      <t>碳纤维</t>
    </r>
    <r>
      <rPr>
        <sz val="11"/>
        <color theme="1"/>
        <rFont val="Calibri"/>
        <family val="2"/>
      </rPr>
      <t>carbon fibre</t>
    </r>
  </si>
  <si>
    <r>
      <t>内饰</t>
    </r>
    <r>
      <rPr>
        <sz val="11"/>
        <color theme="1"/>
        <rFont val="Calibri"/>
        <family val="2"/>
      </rPr>
      <t>trim</t>
    </r>
  </si>
  <si>
    <t>B07JFH9HZH</t>
  </si>
  <si>
    <t xml:space="preserve">Car Engine PCV Valve </t>
  </si>
  <si>
    <r>
      <t>塑料</t>
    </r>
    <r>
      <rPr>
        <sz val="11"/>
        <color theme="1"/>
        <rFont val="Calibri"/>
        <family val="2"/>
      </rPr>
      <t xml:space="preserve"> plastic</t>
    </r>
  </si>
  <si>
    <r>
      <t>配件</t>
    </r>
    <r>
      <rPr>
        <sz val="11"/>
        <color theme="1"/>
        <rFont val="Calibri"/>
        <family val="2"/>
      </rPr>
      <t>parts</t>
    </r>
  </si>
  <si>
    <t>8708999790</t>
  </si>
  <si>
    <t>B07HB4RX6C</t>
  </si>
  <si>
    <t>Exhaust Pipe Sliders</t>
  </si>
  <si>
    <t>排气管配件</t>
  </si>
  <si>
    <t xml:space="preserve"> B07K8MG51W</t>
  </si>
  <si>
    <t>15C5TKS5YU000001</t>
  </si>
  <si>
    <t>LED HEADLIGHTS</t>
  </si>
  <si>
    <r>
      <t>金属</t>
    </r>
    <r>
      <rPr>
        <sz val="11"/>
        <color theme="1"/>
        <rFont val="Calibri"/>
        <family val="2"/>
      </rPr>
      <t>+</t>
    </r>
    <r>
      <rPr>
        <sz val="11"/>
        <color indexed="8"/>
        <rFont val="宋体"/>
        <charset val="134"/>
      </rPr>
      <t>塑料</t>
    </r>
    <r>
      <rPr>
        <sz val="11"/>
        <color theme="1"/>
        <rFont val="Calibri"/>
        <family val="2"/>
      </rPr>
      <t>Metal + plastic</t>
    </r>
  </si>
  <si>
    <t>B0778FYT5S</t>
  </si>
  <si>
    <t>Dashboard Speaker Decoration Covers</t>
  </si>
  <si>
    <t>B07F7ZXM8M</t>
  </si>
  <si>
    <t>GEAR SHIFT KNOB</t>
  </si>
  <si>
    <t>排挡头</t>
  </si>
  <si>
    <r>
      <t>金属，塑料</t>
    </r>
    <r>
      <rPr>
        <sz val="11"/>
        <color theme="1"/>
        <rFont val="Calibri"/>
        <family val="2"/>
      </rPr>
      <t>Metal plastic</t>
    </r>
  </si>
  <si>
    <r>
      <t>汽车零配件</t>
    </r>
    <r>
      <rPr>
        <sz val="11"/>
        <color theme="1"/>
        <rFont val="Calibri"/>
        <family val="2"/>
      </rPr>
      <t>automobile parts</t>
    </r>
  </si>
  <si>
    <t>B07BHN83BW</t>
  </si>
  <si>
    <r>
      <t>摩托车刹车泵</t>
    </r>
    <r>
      <rPr>
        <sz val="11"/>
        <color theme="1"/>
        <rFont val="Calibri"/>
        <family val="2"/>
      </rPr>
      <t>Motorcycle brake pump</t>
    </r>
  </si>
  <si>
    <t>B07DBWK9LT</t>
  </si>
  <si>
    <r>
      <t>换挡杆</t>
    </r>
    <r>
      <rPr>
        <sz val="11"/>
        <color theme="1"/>
        <rFont val="Calibri"/>
        <family val="2"/>
      </rPr>
      <t>Shift lever</t>
    </r>
  </si>
  <si>
    <t xml:space="preserve"> B01LVTWO97</t>
  </si>
  <si>
    <t>15C5RYJ4LU000001</t>
  </si>
  <si>
    <t>Mini Bike Pump</t>
  </si>
  <si>
    <r>
      <t>打气筒</t>
    </r>
    <r>
      <rPr>
        <sz val="11"/>
        <color theme="1"/>
        <rFont val="Calibri"/>
        <family val="2"/>
      </rPr>
      <t>Inflator</t>
    </r>
  </si>
  <si>
    <t xml:space="preserve"> B075JLJGDB</t>
  </si>
  <si>
    <t>HANDLEBAR</t>
  </si>
  <si>
    <t>B074GRHRVK</t>
  </si>
  <si>
    <t>15C5V0D6JU000001</t>
  </si>
  <si>
    <t>PINNIC BOX</t>
  </si>
  <si>
    <t>午餐盒</t>
  </si>
  <si>
    <t xml:space="preserve"> B078RLT6KY</t>
  </si>
  <si>
    <t>STRAP</t>
  </si>
  <si>
    <t xml:space="preserve"> B01N6A8MBH</t>
  </si>
  <si>
    <t>15C5V0D6JU000002</t>
  </si>
  <si>
    <t>PICNIC BOX</t>
  </si>
  <si>
    <t>LED LIGHT</t>
  </si>
  <si>
    <r>
      <t>LED</t>
    </r>
    <r>
      <rPr>
        <sz val="11"/>
        <color indexed="8"/>
        <rFont val="宋体"/>
        <charset val="134"/>
      </rPr>
      <t>灯</t>
    </r>
  </si>
  <si>
    <r>
      <t>塑料</t>
    </r>
    <r>
      <rPr>
        <sz val="11"/>
        <color theme="1"/>
        <rFont val="Calibri"/>
        <family val="2"/>
      </rPr>
      <t>+</t>
    </r>
    <r>
      <rPr>
        <sz val="11"/>
        <color indexed="8"/>
        <rFont val="宋体"/>
        <charset val="134"/>
      </rPr>
      <t>金属</t>
    </r>
    <r>
      <rPr>
        <sz val="11"/>
        <color theme="1"/>
        <rFont val="Calibri"/>
        <family val="2"/>
      </rPr>
      <t>plastic+metal</t>
    </r>
  </si>
  <si>
    <r>
      <t>纹眉纹绣灯</t>
    </r>
    <r>
      <rPr>
        <sz val="11"/>
        <color theme="1"/>
        <rFont val="Calibri"/>
        <family val="2"/>
      </rPr>
      <t xml:space="preserve">  </t>
    </r>
    <r>
      <rPr>
        <sz val="11"/>
        <color indexed="8"/>
        <rFont val="宋体"/>
        <charset val="134"/>
      </rPr>
      <t>也可以做书灯</t>
    </r>
    <r>
      <rPr>
        <sz val="11"/>
        <color theme="1"/>
        <rFont val="Calibri"/>
        <family val="2"/>
      </rPr>
      <t>tattoo lamp</t>
    </r>
  </si>
  <si>
    <t xml:space="preserve"> B075MWWGWD</t>
  </si>
  <si>
    <t>DUSTPROOF WHEEL COVER</t>
  </si>
  <si>
    <r>
      <t>涤纶</t>
    </r>
    <r>
      <rPr>
        <sz val="11"/>
        <color theme="1"/>
        <rFont val="Calibri"/>
        <family val="2"/>
      </rPr>
      <t>polyster</t>
    </r>
  </si>
  <si>
    <r>
      <t>婴儿推车伞车防脏防尘轮套</t>
    </r>
    <r>
      <rPr>
        <sz val="11"/>
        <color theme="1"/>
        <rFont val="Calibri"/>
        <family val="2"/>
      </rPr>
      <t>Baby Kid Pram Stroller Wheel Cover</t>
    </r>
  </si>
  <si>
    <t xml:space="preserve"> B076KKXDYC</t>
  </si>
  <si>
    <t>EYELASH BRUSH</t>
  </si>
  <si>
    <r>
      <t>睫毛刷</t>
    </r>
    <r>
      <rPr>
        <sz val="11"/>
        <color theme="1"/>
        <rFont val="Calibri"/>
        <family val="2"/>
      </rPr>
      <t xml:space="preserve">Eyelash Clean Up Brush </t>
    </r>
  </si>
  <si>
    <t xml:space="preserve"> B07G9C1WPN</t>
  </si>
  <si>
    <t>SHOE HORN</t>
  </si>
  <si>
    <r>
      <t>不锈钢</t>
    </r>
    <r>
      <rPr>
        <sz val="11"/>
        <color theme="1"/>
        <rFont val="Calibri"/>
        <family val="2"/>
      </rPr>
      <t>Stainless Steel</t>
    </r>
  </si>
  <si>
    <r>
      <t>个人护理</t>
    </r>
    <r>
      <rPr>
        <sz val="11"/>
        <color theme="1"/>
        <rFont val="Calibri"/>
        <family val="2"/>
      </rPr>
      <t>personal care</t>
    </r>
  </si>
  <si>
    <t>B078WLR4SF</t>
  </si>
  <si>
    <t>Plastic Beater</t>
  </si>
  <si>
    <t xml:space="preserve"> B07F7QZ68L</t>
  </si>
  <si>
    <t>LEGGINGS</t>
  </si>
  <si>
    <t>B01N5QCX4U</t>
  </si>
  <si>
    <t>15C5V0D6JU000003</t>
  </si>
  <si>
    <t>TABLE cloth</t>
  </si>
  <si>
    <r>
      <t>纱</t>
    </r>
    <r>
      <rPr>
        <sz val="11"/>
        <color theme="1"/>
        <rFont val="Calibri"/>
        <family val="2"/>
      </rPr>
      <t>yarn</t>
    </r>
  </si>
  <si>
    <t>B06XTQ8869</t>
  </si>
  <si>
    <t>TOE SEPARATION SLEEVE</t>
  </si>
  <si>
    <t>WAIST BELT</t>
  </si>
  <si>
    <r>
      <t>聚酯纤维、松紧带</t>
    </r>
    <r>
      <rPr>
        <sz val="11"/>
        <color theme="1"/>
        <rFont val="Calibri"/>
        <family val="2"/>
      </rPr>
      <t>Polyester fiber, elastic band</t>
    </r>
  </si>
  <si>
    <t xml:space="preserve"> B01FM09IHS</t>
  </si>
  <si>
    <r>
      <t>锦纶</t>
    </r>
    <r>
      <rPr>
        <sz val="11"/>
        <color theme="1"/>
        <rFont val="Calibri"/>
        <family val="2"/>
      </rPr>
      <t>Nylon</t>
    </r>
  </si>
  <si>
    <r>
      <t>防尘轮套</t>
    </r>
    <r>
      <rPr>
        <sz val="11"/>
        <color theme="1"/>
        <rFont val="Calibri"/>
        <family val="2"/>
      </rPr>
      <t>Dustproof wheel cover</t>
    </r>
  </si>
  <si>
    <t>15C60JVNWU000001</t>
  </si>
  <si>
    <t>Kitchen Torch</t>
  </si>
  <si>
    <r>
      <t>不锈钢</t>
    </r>
    <r>
      <rPr>
        <sz val="11"/>
        <color theme="1"/>
        <rFont val="Calibri"/>
        <family val="2"/>
      </rPr>
      <t xml:space="preserve"> Stainless steel</t>
    </r>
  </si>
  <si>
    <r>
      <t>点火和加热</t>
    </r>
    <r>
      <rPr>
        <sz val="11"/>
        <color theme="1"/>
        <rFont val="Calibri"/>
        <family val="2"/>
      </rPr>
      <t xml:space="preserve"> Ignition and heating</t>
    </r>
  </si>
  <si>
    <t xml:space="preserve"> B076MP45KL</t>
  </si>
  <si>
    <t>15C60JVNWU000002</t>
  </si>
  <si>
    <t>15C60JVNWU000003</t>
  </si>
  <si>
    <t>15C60JVNWU000004</t>
  </si>
  <si>
    <t>15C60JVNWU000005</t>
  </si>
  <si>
    <t>15C60JVNWU000006</t>
  </si>
  <si>
    <t>POSTURE CORRECTOR BRACE</t>
  </si>
  <si>
    <r>
      <t>氯丁橡胶</t>
    </r>
    <r>
      <rPr>
        <sz val="11"/>
        <color theme="1"/>
        <rFont val="Calibri"/>
        <family val="2"/>
      </rPr>
      <t>Cotton+</t>
    </r>
    <r>
      <rPr>
        <sz val="11"/>
        <color indexed="8"/>
        <rFont val="宋体"/>
        <charset val="134"/>
      </rPr>
      <t>泡棉</t>
    </r>
    <r>
      <rPr>
        <sz val="11"/>
        <color theme="1"/>
        <rFont val="Calibri"/>
        <family val="2"/>
      </rPr>
      <t>Neoprene + foamed</t>
    </r>
  </si>
  <si>
    <r>
      <t>矫正</t>
    </r>
    <r>
      <rPr>
        <sz val="11"/>
        <color theme="1"/>
        <rFont val="Calibri"/>
        <family val="2"/>
      </rPr>
      <t xml:space="preserve"> Correction</t>
    </r>
  </si>
  <si>
    <t xml:space="preserve"> B07CHJ239X</t>
  </si>
  <si>
    <t>15C60JVNWU000007</t>
  </si>
  <si>
    <t>15C60JVNWU000008</t>
  </si>
  <si>
    <t>15C60JVNWU000009</t>
  </si>
  <si>
    <t>15C5Y7QV6U000001</t>
  </si>
  <si>
    <t>3D PRINTER NOZZLES</t>
  </si>
  <si>
    <r>
      <t>3D</t>
    </r>
    <r>
      <rPr>
        <sz val="11"/>
        <color indexed="8"/>
        <rFont val="宋体"/>
        <charset val="134"/>
      </rPr>
      <t>打印机喷嘴</t>
    </r>
  </si>
  <si>
    <r>
      <t>3D</t>
    </r>
    <r>
      <rPr>
        <sz val="11"/>
        <color indexed="8"/>
        <rFont val="微软雅黑"/>
        <family val="2"/>
        <charset val="134"/>
      </rPr>
      <t>打印</t>
    </r>
  </si>
  <si>
    <t>B07BMPWZHZ</t>
  </si>
  <si>
    <t>Clear Cone Bags</t>
  </si>
  <si>
    <t>透明袋子</t>
  </si>
  <si>
    <r>
      <t>聚乙烯</t>
    </r>
    <r>
      <rPr>
        <sz val="11"/>
        <color theme="1"/>
        <rFont val="Calibri"/>
        <family val="2"/>
      </rPr>
      <t>PP</t>
    </r>
  </si>
  <si>
    <t xml:space="preserve"> B075V1Z57N</t>
  </si>
  <si>
    <t>15C5Y7QV6U000002</t>
  </si>
  <si>
    <t>15C5Y7QV6U000003</t>
  </si>
  <si>
    <t>15C5Y7QV6U000004</t>
  </si>
  <si>
    <t>15C5Y7QV6U000005</t>
  </si>
  <si>
    <t>15C61K2KDU000001</t>
  </si>
  <si>
    <r>
      <t>Musical instrument playing(</t>
    </r>
    <r>
      <rPr>
        <sz val="11"/>
        <color indexed="8"/>
        <rFont val="宋体"/>
        <charset val="134"/>
      </rPr>
      <t>乐器演奏</t>
    </r>
    <r>
      <rPr>
        <sz val="11"/>
        <color theme="1"/>
        <rFont val="Calibri"/>
        <family val="2"/>
      </rPr>
      <t>)</t>
    </r>
  </si>
  <si>
    <t xml:space="preserve"> B07GV8R9F5</t>
  </si>
  <si>
    <t>15C61K2KDU000002</t>
  </si>
  <si>
    <t>15C61K2KDU000003</t>
  </si>
  <si>
    <t>15C5YW167U000001</t>
  </si>
  <si>
    <t>Dancing Costumes</t>
  </si>
  <si>
    <t>跳舞衣</t>
  </si>
  <si>
    <t xml:space="preserve"> B07JBSCKFR</t>
  </si>
  <si>
    <t>15C5YW167U000002</t>
  </si>
  <si>
    <t>15C5YW167U000003</t>
  </si>
  <si>
    <t>15C623TPLU000001</t>
  </si>
  <si>
    <r>
      <t xml:space="preserve">painting
</t>
    </r>
    <r>
      <rPr>
        <sz val="11"/>
        <color indexed="8"/>
        <rFont val="宋体"/>
        <charset val="134"/>
      </rPr>
      <t>画画</t>
    </r>
  </si>
  <si>
    <t>15C623TPLU000002</t>
  </si>
  <si>
    <t>15C623TPLU000003</t>
  </si>
  <si>
    <t>15C623TPLU000004</t>
  </si>
  <si>
    <t>15C623TPLU000005</t>
  </si>
  <si>
    <t>15C623TPLU000006</t>
  </si>
  <si>
    <t>15C623TPLU000007</t>
  </si>
  <si>
    <t>15C623TPLU000008</t>
  </si>
  <si>
    <t>Eye Brow Shaper Kit</t>
  </si>
  <si>
    <r>
      <t>不锈钢</t>
    </r>
    <r>
      <rPr>
        <sz val="11"/>
        <color theme="1"/>
        <rFont val="Calibri"/>
        <family val="2"/>
      </rPr>
      <t xml:space="preserve">
stainless steel</t>
    </r>
  </si>
  <si>
    <r>
      <t xml:space="preserve">beauty
</t>
    </r>
    <r>
      <rPr>
        <sz val="11"/>
        <color indexed="8"/>
        <rFont val="宋体"/>
        <charset val="134"/>
      </rPr>
      <t>美妆</t>
    </r>
  </si>
  <si>
    <t xml:space="preserve"> B017T7757C</t>
  </si>
  <si>
    <t>15C623TPLU000009</t>
  </si>
  <si>
    <t>15C5Z5CY5U001</t>
  </si>
  <si>
    <t>LIGHT BULB</t>
  </si>
  <si>
    <r>
      <t xml:space="preserve">Aluminium and plastics </t>
    </r>
    <r>
      <rPr>
        <sz val="11"/>
        <color indexed="8"/>
        <rFont val="宋体"/>
        <charset val="134"/>
      </rPr>
      <t>铝和塑料</t>
    </r>
  </si>
  <si>
    <r>
      <t>Home lighting</t>
    </r>
    <r>
      <rPr>
        <sz val="11"/>
        <color indexed="8"/>
        <rFont val="宋体"/>
        <charset val="134"/>
      </rPr>
      <t>家庭照明</t>
    </r>
  </si>
  <si>
    <t xml:space="preserve"> B074N1RL61</t>
  </si>
  <si>
    <t>15C5Z5CY5U002</t>
  </si>
  <si>
    <t>15C5Z5CY5U003</t>
  </si>
  <si>
    <t>15C5Z5CY5U004</t>
  </si>
  <si>
    <t>15C5Z5CY5U005</t>
  </si>
  <si>
    <t>15C5Z5CY5U006</t>
  </si>
  <si>
    <t>15C5Z5CY5U007</t>
  </si>
  <si>
    <t>15C5Z5CY5U008</t>
  </si>
  <si>
    <r>
      <t>将品名</t>
    </r>
    <r>
      <rPr>
        <b/>
        <sz val="11"/>
        <rFont val="Calibri"/>
        <family val="2"/>
      </rPr>
      <t xml:space="preserve"> hs code  </t>
    </r>
    <r>
      <rPr>
        <b/>
        <sz val="11"/>
        <rFont val="宋体"/>
        <family val="2"/>
      </rPr>
      <t>价格均填写完毕</t>
    </r>
  </si>
  <si>
    <r>
      <t>数量</t>
    </r>
    <r>
      <rPr>
        <sz val="11"/>
        <rFont val="Calibri"/>
        <family val="2"/>
      </rPr>
      <t>*</t>
    </r>
    <r>
      <rPr>
        <sz val="11"/>
        <rFont val="宋体"/>
        <family val="2"/>
      </rPr>
      <t>重量</t>
    </r>
    <r>
      <rPr>
        <sz val="11"/>
        <rFont val="Calibri"/>
        <family val="2"/>
      </rPr>
      <t>+2</t>
    </r>
  </si>
  <si>
    <r>
      <t>数量</t>
    </r>
    <r>
      <rPr>
        <sz val="11"/>
        <rFont val="Calibri"/>
        <family val="2"/>
      </rPr>
      <t>*</t>
    </r>
    <r>
      <rPr>
        <sz val="11"/>
        <rFont val="宋体"/>
        <family val="2"/>
      </rPr>
      <t>重量</t>
    </r>
    <r>
      <rPr>
        <sz val="11"/>
        <rFont val="Calibri"/>
        <family val="2"/>
      </rPr>
      <t>+1.5</t>
    </r>
  </si>
  <si>
    <r>
      <t>数量</t>
    </r>
    <r>
      <rPr>
        <sz val="11"/>
        <rFont val="Calibri"/>
        <family val="2"/>
      </rPr>
      <t>*</t>
    </r>
    <r>
      <rPr>
        <sz val="11"/>
        <rFont val="宋体"/>
        <family val="2"/>
      </rPr>
      <t>重量</t>
    </r>
    <r>
      <rPr>
        <sz val="11"/>
        <rFont val="Calibri"/>
        <family val="2"/>
      </rPr>
      <t>+1</t>
    </r>
  </si>
  <si>
    <r>
      <t>数量</t>
    </r>
    <r>
      <rPr>
        <sz val="11"/>
        <rFont val="Calibri"/>
        <family val="2"/>
      </rPr>
      <t>*</t>
    </r>
    <r>
      <rPr>
        <sz val="11"/>
        <rFont val="宋体"/>
        <family val="2"/>
      </rPr>
      <t>重量</t>
    </r>
    <r>
      <rPr>
        <sz val="11"/>
        <rFont val="Calibri"/>
        <family val="2"/>
      </rPr>
      <t>+0.5</t>
    </r>
  </si>
  <si>
    <r>
      <t>提单重量是</t>
    </r>
    <r>
      <rPr>
        <sz val="11"/>
        <rFont val="Calibri"/>
        <family val="2"/>
      </rPr>
      <t>1474</t>
    </r>
  </si>
  <si>
    <t>将所有产品重量按照数量*重量+0、1.0/2.0 （具体是0/1.0/2视与包税部分重量而定）</t>
  </si>
  <si>
    <t>由于不是所有产品的链接均显示重量，对于没有的，我们会参考同类型产品重量作为参考</t>
  </si>
  <si>
    <t>选择一个与包税重量最为贴近的（黄色的）</t>
  </si>
  <si>
    <t>数量*重量+1.5</t>
  </si>
  <si>
    <t>将重量调整与提单重量一致</t>
  </si>
  <si>
    <t>选择一项产品：通常会选择数量多的那个，在那个产品的重量是作手脚</t>
  </si>
  <si>
    <t>1478.77-1474=4.77</t>
  </si>
  <si>
    <r>
      <t>差异重量是</t>
    </r>
    <r>
      <rPr>
        <sz val="11"/>
        <rFont val="Calibri"/>
        <family val="2"/>
      </rPr>
      <t>4.77</t>
    </r>
    <r>
      <rPr>
        <sz val="11"/>
        <rFont val="宋体"/>
        <family val="2"/>
      </rPr>
      <t>，需要减去</t>
    </r>
    <r>
      <rPr>
        <sz val="11"/>
        <rFont val="Calibri"/>
        <family val="2"/>
      </rPr>
      <t>4.77</t>
    </r>
  </si>
  <si>
    <t>4.77/400=0.012</t>
  </si>
  <si>
    <t>将差异部分除以数量数</t>
  </si>
  <si>
    <t>21.5-200*0.012-19.1</t>
  </si>
  <si>
    <t>求出目标重量</t>
  </si>
  <si>
    <r>
      <t>仍然差</t>
    </r>
    <r>
      <rPr>
        <sz val="11"/>
        <rFont val="Calibri"/>
        <family val="2"/>
      </rPr>
      <t>0.03</t>
    </r>
  </si>
  <si>
    <r>
      <t>将这个</t>
    </r>
    <r>
      <rPr>
        <sz val="11"/>
        <rFont val="Calibri"/>
        <family val="2"/>
      </rPr>
      <t>0.03</t>
    </r>
    <r>
      <rPr>
        <sz val="11"/>
        <rFont val="宋体"/>
        <family val="2"/>
      </rPr>
      <t>添加在全资料中只显示一次的产品中</t>
    </r>
  </si>
  <si>
    <r>
      <t>减少完</t>
    </r>
    <r>
      <rPr>
        <sz val="11"/>
        <rFont val="Calibri"/>
        <family val="2"/>
      </rPr>
      <t>42/61/62</t>
    </r>
  </si>
  <si>
    <t>再加上均摊重量</t>
  </si>
  <si>
    <r>
      <t>筛选出</t>
    </r>
    <r>
      <rPr>
        <sz val="11"/>
        <rFont val="Calibri"/>
        <family val="2"/>
      </rPr>
      <t>42/61/62</t>
    </r>
    <r>
      <rPr>
        <sz val="11"/>
        <rFont val="宋体"/>
        <family val="2"/>
      </rPr>
      <t>类产品</t>
    </r>
    <r>
      <rPr>
        <sz val="11"/>
        <rFont val="Calibri"/>
        <family val="2"/>
      </rPr>
      <t xml:space="preserve"> </t>
    </r>
    <r>
      <rPr>
        <sz val="11"/>
        <rFont val="宋体"/>
        <family val="2"/>
      </rPr>
      <t>根据</t>
    </r>
    <r>
      <rPr>
        <sz val="11"/>
        <rFont val="Calibri"/>
        <family val="2"/>
      </rPr>
      <t>hs code</t>
    </r>
  </si>
  <si>
    <r>
      <t>将此类产品的重量设定在单箱在</t>
    </r>
    <r>
      <rPr>
        <sz val="11"/>
        <rFont val="Calibri"/>
        <family val="2"/>
      </rPr>
      <t>3~7.5</t>
    </r>
    <r>
      <rPr>
        <sz val="11"/>
        <rFont val="宋体"/>
        <family val="2"/>
      </rPr>
      <t>之间（基本产品重量会在0.02-0.15之间。视乎产品数量 材质）</t>
    </r>
  </si>
  <si>
    <t>产品数量</t>
  </si>
  <si>
    <t>单个重量参考</t>
  </si>
  <si>
    <t>0-50</t>
  </si>
  <si>
    <t>0.05-0.1</t>
  </si>
  <si>
    <t>50-100</t>
  </si>
  <si>
    <t>0.07-0.1</t>
  </si>
  <si>
    <t>100-150</t>
  </si>
  <si>
    <t>0.02-0.05</t>
  </si>
  <si>
    <t>150-200</t>
  </si>
  <si>
    <t>0.02-0.04</t>
  </si>
  <si>
    <r>
      <t>200</t>
    </r>
    <r>
      <rPr>
        <sz val="11"/>
        <rFont val="宋体"/>
        <family val="2"/>
      </rPr>
      <t>以上</t>
    </r>
  </si>
  <si>
    <t>0.02-0.03</t>
  </si>
  <si>
    <r>
      <t>产品的售价在</t>
    </r>
    <r>
      <rPr>
        <sz val="11"/>
        <rFont val="Calibri"/>
        <family val="2"/>
      </rPr>
      <t>45</t>
    </r>
    <r>
      <rPr>
        <sz val="11"/>
        <rFont val="宋体"/>
        <family val="2"/>
      </rPr>
      <t>欧元以上，且单箱的数量在</t>
    </r>
    <r>
      <rPr>
        <sz val="11"/>
        <rFont val="Calibri"/>
        <family val="2"/>
      </rPr>
      <t>10</t>
    </r>
    <r>
      <rPr>
        <sz val="11"/>
        <rFont val="宋体"/>
        <family val="2"/>
      </rPr>
      <t>以内</t>
    </r>
  </si>
  <si>
    <t>此时毛重请尽量在数量以下（数值）</t>
  </si>
  <si>
    <t>减少完后会有一段差距</t>
  </si>
  <si>
    <r>
      <t>选择除</t>
    </r>
    <r>
      <rPr>
        <sz val="11"/>
        <rFont val="Calibri"/>
        <family val="2"/>
      </rPr>
      <t>42/61/62</t>
    </r>
    <r>
      <rPr>
        <sz val="11"/>
        <rFont val="宋体"/>
        <family val="2"/>
      </rPr>
      <t>以及高附加值产品且数量少的产品</t>
    </r>
  </si>
  <si>
    <t>6079-1218=4861</t>
  </si>
  <si>
    <r>
      <t>总数量</t>
    </r>
    <r>
      <rPr>
        <sz val="11"/>
        <rFont val="Calibri"/>
        <family val="2"/>
      </rPr>
      <t>-</t>
    </r>
    <r>
      <rPr>
        <sz val="11"/>
        <rFont val="宋体"/>
        <family val="2"/>
      </rPr>
      <t>重量已被减少的产品重量</t>
    </r>
  </si>
  <si>
    <t>差距部分</t>
  </si>
  <si>
    <t>253.56/4861</t>
  </si>
  <si>
    <t>将差距部分均分</t>
  </si>
  <si>
    <r>
      <t>产品毛重=ROUND(原有重量</t>
    </r>
    <r>
      <rPr>
        <sz val="11"/>
        <rFont val="Calibri"/>
        <family val="2"/>
      </rPr>
      <t>*</t>
    </r>
    <r>
      <rPr>
        <sz val="11"/>
        <rFont val="宋体"/>
        <family val="2"/>
      </rPr>
      <t>数量</t>
    </r>
    <r>
      <rPr>
        <sz val="11"/>
        <rFont val="Calibri"/>
        <family val="2"/>
      </rPr>
      <t>*0.0521,2)</t>
    </r>
  </si>
  <si>
    <t xml:space="preserve"> </t>
  </si>
  <si>
    <t>仍有差距</t>
  </si>
  <si>
    <t>1474-1473.66=0.24</t>
  </si>
  <si>
    <t>重复上一步骤</t>
  </si>
  <si>
    <r>
      <t>将</t>
    </r>
    <r>
      <rPr>
        <sz val="11"/>
        <rFont val="Calibri"/>
        <family val="2"/>
      </rPr>
      <t>0.24</t>
    </r>
    <r>
      <rPr>
        <sz val="11"/>
        <rFont val="宋体"/>
        <family val="2"/>
      </rPr>
      <t>添加在一项单一产品中</t>
    </r>
  </si>
  <si>
    <t>假设包税部分有320KG转移至客人税号</t>
  </si>
  <si>
    <r>
      <t>意味着包税重量是</t>
    </r>
    <r>
      <rPr>
        <sz val="11"/>
        <rFont val="Calibri"/>
        <family val="2"/>
      </rPr>
      <t>1474-320=1154</t>
    </r>
  </si>
  <si>
    <t>1220.44-1154</t>
  </si>
  <si>
    <t>仍然需要选择产品减少重量</t>
  </si>
  <si>
    <r>
      <t>优先选择</t>
    </r>
    <r>
      <rPr>
        <sz val="11"/>
        <rFont val="Calibri"/>
        <family val="2"/>
      </rPr>
      <t>9503/92/8539/9405</t>
    </r>
    <r>
      <rPr>
        <sz val="11"/>
        <rFont val="宋体"/>
        <family val="2"/>
      </rPr>
      <t>类产品减少</t>
    </r>
  </si>
  <si>
    <t>公式为round ( 毛重*0.5/0.6/0.7,2）</t>
  </si>
  <si>
    <t>具体减少多少视乎差距</t>
  </si>
  <si>
    <t>1154-1153.48=0.52</t>
  </si>
  <si>
    <t>将0.52添加在一项单一产品中</t>
  </si>
  <si>
    <t>减少重量比转移重量多</t>
  </si>
  <si>
    <t>减少重量比转移重量少</t>
  </si>
  <si>
    <t>例如：一票货物是2000KG</t>
  </si>
  <si>
    <t>原始：包税1000KG，客人自有税号1000KG</t>
  </si>
  <si>
    <t>修改后：包税600KG ，客人1400KG</t>
  </si>
  <si>
    <t>将资料上的包税重量转移到客人自有税号</t>
  </si>
  <si>
    <t>Air Way Bill GW</t>
  </si>
  <si>
    <t>包税 GW</t>
  </si>
  <si>
    <t>客人自有税号 GW</t>
  </si>
  <si>
    <t>包税修改后 GW</t>
  </si>
  <si>
    <t>CALACULATED GW</t>
  </si>
  <si>
    <t>ADJUSTED GW</t>
  </si>
  <si>
    <t>HS CODE</t>
  </si>
  <si>
    <t/>
  </si>
  <si>
    <t>6207999099</t>
  </si>
  <si>
    <t>8424200000</t>
  </si>
  <si>
    <t>3923109090</t>
  </si>
  <si>
    <t>9609909000</t>
  </si>
  <si>
    <t>3926909790</t>
  </si>
  <si>
    <t>9506999000</t>
  </si>
  <si>
    <t>3923309090</t>
  </si>
  <si>
    <t>7323930090</t>
  </si>
  <si>
    <t>8214200000</t>
  </si>
  <si>
    <t>9021109000</t>
  </si>
  <si>
    <t>6304990099</t>
  </si>
  <si>
    <t>7319909000</t>
  </si>
  <si>
    <t>5908000000</t>
  </si>
  <si>
    <t>6307909899</t>
  </si>
  <si>
    <t>8543709099</t>
  </si>
  <si>
    <t>8714993000</t>
  </si>
  <si>
    <t>8714949090</t>
  </si>
  <si>
    <t>8714999089</t>
  </si>
  <si>
    <t>8539500000</t>
  </si>
  <si>
    <t>7616999099</t>
  </si>
  <si>
    <t>8708299090</t>
  </si>
  <si>
    <t>8414208090</t>
  </si>
  <si>
    <t>8714109090</t>
  </si>
  <si>
    <t>3924900090</t>
  </si>
  <si>
    <t>6307909810</t>
  </si>
  <si>
    <t>9603909900</t>
  </si>
  <si>
    <t>6406909010</t>
  </si>
  <si>
    <t>6302599090</t>
  </si>
  <si>
    <t>8443999000</t>
  </si>
  <si>
    <t>3923299000</t>
  </si>
  <si>
    <t>9205909000</t>
  </si>
  <si>
    <t>6208990099</t>
  </si>
  <si>
    <t>8203200000</t>
  </si>
  <si>
    <t>币别2</t>
  </si>
  <si>
    <t>test1</t>
  </si>
  <si>
    <t>test2</t>
  </si>
  <si>
    <t>test3</t>
  </si>
  <si>
    <t>test4</t>
  </si>
  <si>
    <t>test5</t>
  </si>
  <si>
    <t>test6</t>
  </si>
  <si>
    <t>test7</t>
  </si>
  <si>
    <t>DUTY</t>
  </si>
  <si>
    <t>ASIN</t>
  </si>
  <si>
    <t>PRICE</t>
  </si>
  <si>
    <t>ITEM_WT</t>
  </si>
  <si>
    <t>NAME</t>
  </si>
  <si>
    <t>根据 数量 * 搜索到的产品重量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</si>
</sst>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1010804]General"/>
    <numFmt numFmtId="165" formatCode="[$£-809]#,##0.00_);[Red]\([$£-809]#,##0.00\)"/>
    <numFmt numFmtId="166" formatCode="#,##0.00_);[Red]\(#,##0.00\)"/>
    <numFmt numFmtId="167" formatCode="[$£-809]#,##0.00;\-[$£-809]#,##0.00"/>
    <numFmt numFmtId="168" formatCode="&quot;US$&quot;#,##0.00;[Red]&quot;US$&quot;#,##0.00"/>
    <numFmt numFmtId="169" formatCode="000000"/>
    <numFmt numFmtId="170" formatCode="0.00_ "/>
  </numFmts>
  <fonts count="45">
    <font>
      <sz val="11"/>
      <color theme="1"/>
      <name val="Calibri"/>
      <charset val="134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indexed="8"/>
      <name val="宋体"/>
      <charset val="134"/>
    </font>
    <font>
      <b/>
      <sz val="11"/>
      <color indexed="8"/>
      <name val="Calibri"/>
      <family val="2"/>
    </font>
    <font>
      <b/>
      <sz val="11"/>
      <name val="宋体"/>
      <charset val="134"/>
    </font>
    <font>
      <sz val="11"/>
      <color theme="1"/>
      <name val="Calibri"/>
      <family val="2"/>
    </font>
    <font>
      <sz val="11"/>
      <color rgb="FF000000"/>
      <name val="宋体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charset val="134"/>
    </font>
    <font>
      <sz val="12"/>
      <name val="Calibri"/>
      <family val="2"/>
    </font>
    <font>
      <sz val="12"/>
      <name val="宋体"/>
      <charset val="134"/>
    </font>
    <font>
      <sz val="11"/>
      <color theme="1"/>
      <name val="Calibri"/>
      <family val="2"/>
    </font>
    <font>
      <u/>
      <sz val="11"/>
      <color rgb="FF800080"/>
      <name val="宋体"/>
      <charset val="134"/>
    </font>
    <font>
      <u/>
      <sz val="11"/>
      <color theme="1"/>
      <name val="Calibri"/>
      <family val="2"/>
    </font>
    <font>
      <u/>
      <sz val="12"/>
      <color rgb="FF800080"/>
      <name val="宋体"/>
      <charset val="134"/>
    </font>
    <font>
      <sz val="11"/>
      <name val="宋体"/>
      <charset val="134"/>
    </font>
    <font>
      <sz val="11"/>
      <color indexed="8"/>
      <name val="Calibri"/>
      <family val="2"/>
    </font>
    <font>
      <b/>
      <sz val="11"/>
      <name val="宋体"/>
      <family val="2"/>
    </font>
    <font>
      <sz val="11"/>
      <name val="宋体"/>
      <family val="2"/>
    </font>
    <font>
      <b/>
      <sz val="11"/>
      <name val="Calibri"/>
      <family val="2"/>
    </font>
    <font>
      <sz val="10"/>
      <color theme="1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charset val="134"/>
    </font>
    <font>
      <sz val="10"/>
      <color theme="1"/>
      <name val="微软雅黑"/>
      <family val="2"/>
      <charset val="134"/>
    </font>
    <font>
      <sz val="10"/>
      <color theme="1"/>
      <name val="黑体"/>
      <family val="3"/>
      <charset val="134"/>
    </font>
    <font>
      <u/>
      <sz val="10"/>
      <color theme="1"/>
      <name val="Calibri"/>
      <family val="2"/>
      <scheme val="minor"/>
    </font>
    <font>
      <sz val="10"/>
      <color theme="1"/>
      <name val="Arial"/>
      <family val="2"/>
    </font>
    <font>
      <u/>
      <sz val="10"/>
      <color theme="1"/>
      <name val="宋体"/>
      <charset val="134"/>
    </font>
    <font>
      <sz val="10"/>
      <color theme="1"/>
      <name val="Calibri Light"/>
      <family val="2"/>
      <scheme val="major"/>
    </font>
    <font>
      <u/>
      <sz val="11"/>
      <color rgb="FF0000FF"/>
      <name val="Calibri"/>
      <family val="2"/>
      <scheme val="minor"/>
    </font>
    <font>
      <b/>
      <sz val="12"/>
      <color indexed="8"/>
      <name val="宋体"/>
      <charset val="134"/>
    </font>
    <font>
      <b/>
      <sz val="10"/>
      <name val="宋体"/>
      <charset val="134"/>
    </font>
    <font>
      <b/>
      <sz val="12"/>
      <name val="宋体"/>
      <charset val="134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E100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5">
    <xf numFmtId="0" fontId="0" fillId="0" borderId="0">
      <alignment vertical="center"/>
    </xf>
    <xf numFmtId="0" fontId="40" fillId="0" borderId="0" applyNumberFormat="0" applyFill="0" applyBorder="0" applyAlignment="0" applyProtection="0">
      <alignment vertical="center"/>
    </xf>
    <xf numFmtId="0" fontId="13" fillId="0" borderId="0"/>
    <xf numFmtId="0" fontId="44" fillId="0" borderId="0">
      <alignment vertical="center"/>
    </xf>
    <xf numFmtId="0" fontId="44" fillId="0" borderId="0">
      <alignment vertical="center"/>
    </xf>
  </cellStyleXfs>
  <cellXfs count="374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/>
    </xf>
    <xf numFmtId="165" fontId="3" fillId="2" borderId="0" xfId="0" applyNumberFormat="1" applyFont="1" applyFill="1" applyBorder="1" applyAlignment="1">
      <alignment horizontal="left" vertical="center"/>
    </xf>
    <xf numFmtId="10" fontId="3" fillId="2" borderId="0" xfId="0" applyNumberFormat="1" applyFont="1" applyFill="1" applyBorder="1" applyAlignment="1">
      <alignment horizontal="left" vertical="center"/>
    </xf>
    <xf numFmtId="0" fontId="3" fillId="2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/>
    </xf>
    <xf numFmtId="4" fontId="10" fillId="3" borderId="1" xfId="0" applyNumberFormat="1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left" vertical="center"/>
    </xf>
    <xf numFmtId="0" fontId="11" fillId="2" borderId="2" xfId="0" applyNumberFormat="1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49" fontId="8" fillId="2" borderId="1" xfId="0" applyNumberFormat="1" applyFont="1" applyFill="1" applyBorder="1" applyAlignment="1">
      <alignment horizontal="left" vertical="center"/>
    </xf>
    <xf numFmtId="168" fontId="8" fillId="3" borderId="1" xfId="0" applyNumberFormat="1" applyFont="1" applyFill="1" applyBorder="1" applyAlignment="1">
      <alignment horizontal="left" vertical="center"/>
    </xf>
    <xf numFmtId="0" fontId="8" fillId="2" borderId="1" xfId="0" applyFont="1" applyFill="1" applyBorder="1" applyAlignment="1" applyProtection="1">
      <alignment horizontal="left" vertical="center"/>
    </xf>
    <xf numFmtId="0" fontId="8" fillId="0" borderId="1" xfId="0" applyFont="1" applyFill="1" applyBorder="1" applyAlignment="1" applyProtection="1">
      <alignment horizontal="left" vertical="center"/>
    </xf>
    <xf numFmtId="0" fontId="11" fillId="2" borderId="1" xfId="0" applyFont="1" applyFill="1" applyBorder="1" applyAlignment="1" applyProtection="1">
      <alignment horizontal="left" vertical="center"/>
    </xf>
    <xf numFmtId="0" fontId="12" fillId="2" borderId="1" xfId="0" applyFont="1" applyFill="1" applyBorder="1" applyAlignment="1">
      <alignment horizontal="left" vertical="center" wrapText="1"/>
    </xf>
    <xf numFmtId="0" fontId="13" fillId="2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/>
    </xf>
    <xf numFmtId="165" fontId="2" fillId="2" borderId="1" xfId="0" applyNumberFormat="1" applyFont="1" applyFill="1" applyBorder="1" applyAlignment="1">
      <alignment horizontal="left" vertical="center" wrapText="1"/>
    </xf>
    <xf numFmtId="165" fontId="5" fillId="2" borderId="1" xfId="0" applyNumberFormat="1" applyFont="1" applyFill="1" applyBorder="1" applyAlignment="1">
      <alignment horizontal="left" vertical="center"/>
    </xf>
    <xf numFmtId="0" fontId="8" fillId="2" borderId="1" xfId="0" applyNumberFormat="1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14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165" fontId="8" fillId="2" borderId="1" xfId="2" applyNumberFormat="1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8" fillId="3" borderId="1" xfId="0" applyNumberFormat="1" applyFont="1" applyFill="1" applyBorder="1" applyAlignment="1">
      <alignment horizontal="left" vertical="center"/>
    </xf>
    <xf numFmtId="0" fontId="8" fillId="0" borderId="2" xfId="0" applyFont="1" applyFill="1" applyBorder="1" applyAlignment="1">
      <alignment horizontal="left" vertical="center"/>
    </xf>
    <xf numFmtId="164" fontId="8" fillId="3" borderId="1" xfId="0" applyNumberFormat="1" applyFont="1" applyFill="1" applyBorder="1" applyAlignment="1">
      <alignment horizontal="left" vertical="center"/>
    </xf>
    <xf numFmtId="0" fontId="11" fillId="2" borderId="3" xfId="0" applyFont="1" applyFill="1" applyBorder="1" applyAlignment="1" applyProtection="1">
      <alignment horizontal="left" vertical="center"/>
    </xf>
    <xf numFmtId="0" fontId="11" fillId="2" borderId="2" xfId="0" applyFont="1" applyFill="1" applyBorder="1" applyAlignment="1" applyProtection="1">
      <alignment horizontal="left" vertical="center"/>
    </xf>
    <xf numFmtId="0" fontId="8" fillId="4" borderId="1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10" fontId="2" fillId="2" borderId="1" xfId="0" applyNumberFormat="1" applyFont="1" applyFill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10" fontId="2" fillId="2" borderId="1" xfId="0" applyNumberFormat="1" applyFont="1" applyFill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165" fontId="8" fillId="2" borderId="4" xfId="2" applyNumberFormat="1" applyFont="1" applyFill="1" applyBorder="1" applyAlignment="1">
      <alignment horizontal="left" vertical="center"/>
    </xf>
    <xf numFmtId="0" fontId="8" fillId="2" borderId="5" xfId="0" applyFont="1" applyFill="1" applyBorder="1" applyAlignment="1" applyProtection="1">
      <alignment horizontal="left" vertical="center"/>
    </xf>
    <xf numFmtId="10" fontId="8" fillId="2" borderId="5" xfId="0" applyNumberFormat="1" applyFont="1" applyFill="1" applyBorder="1" applyAlignment="1" applyProtection="1">
      <alignment horizontal="left" vertical="center"/>
    </xf>
    <xf numFmtId="0" fontId="15" fillId="3" borderId="1" xfId="1" applyFont="1" applyFill="1" applyBorder="1" applyAlignment="1">
      <alignment horizontal="left" vertical="center"/>
    </xf>
    <xf numFmtId="0" fontId="16" fillId="3" borderId="1" xfId="1" applyFont="1" applyFill="1" applyBorder="1" applyAlignment="1">
      <alignment horizontal="left" vertical="center"/>
    </xf>
    <xf numFmtId="0" fontId="8" fillId="2" borderId="6" xfId="0" applyFont="1" applyFill="1" applyBorder="1" applyAlignment="1" applyProtection="1">
      <alignment horizontal="left" vertical="center"/>
    </xf>
    <xf numFmtId="4" fontId="15" fillId="3" borderId="1" xfId="1" applyNumberFormat="1" applyFont="1" applyFill="1" applyBorder="1" applyAlignment="1" applyProtection="1">
      <alignment horizontal="left" vertical="center"/>
    </xf>
    <xf numFmtId="4" fontId="16" fillId="3" borderId="1" xfId="1" applyNumberFormat="1" applyFont="1" applyFill="1" applyBorder="1" applyAlignment="1" applyProtection="1">
      <alignment horizontal="left" vertical="center"/>
    </xf>
    <xf numFmtId="0" fontId="15" fillId="2" borderId="1" xfId="1" applyFont="1" applyFill="1" applyBorder="1" applyAlignment="1">
      <alignment horizontal="left" vertical="center"/>
    </xf>
    <xf numFmtId="0" fontId="8" fillId="2" borderId="5" xfId="0" applyNumberFormat="1" applyFont="1" applyFill="1" applyBorder="1" applyAlignment="1" applyProtection="1">
      <alignment horizontal="left" vertical="center"/>
    </xf>
    <xf numFmtId="0" fontId="17" fillId="2" borderId="1" xfId="1" applyFont="1" applyFill="1" applyBorder="1" applyAlignment="1" applyProtection="1">
      <alignment horizontal="left" vertical="center"/>
    </xf>
    <xf numFmtId="0" fontId="15" fillId="2" borderId="1" xfId="1" applyFont="1" applyFill="1" applyBorder="1" applyAlignment="1" applyProtection="1">
      <alignment horizontal="left" vertical="center"/>
    </xf>
    <xf numFmtId="168" fontId="12" fillId="2" borderId="1" xfId="0" applyNumberFormat="1" applyFont="1" applyFill="1" applyBorder="1" applyAlignment="1">
      <alignment horizontal="left" vertical="center" wrapText="1"/>
    </xf>
    <xf numFmtId="168" fontId="13" fillId="2" borderId="1" xfId="0" applyNumberFormat="1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1" fillId="0" borderId="1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 wrapText="1"/>
    </xf>
    <xf numFmtId="49" fontId="18" fillId="2" borderId="1" xfId="0" applyNumberFormat="1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8" fillId="0" borderId="1" xfId="4" applyFont="1" applyFill="1" applyBorder="1" applyAlignment="1">
      <alignment horizontal="left" vertical="center"/>
    </xf>
    <xf numFmtId="0" fontId="11" fillId="0" borderId="1" xfId="4" applyFont="1" applyFill="1" applyBorder="1" applyAlignment="1">
      <alignment horizontal="left" vertical="center"/>
    </xf>
    <xf numFmtId="168" fontId="8" fillId="2" borderId="1" xfId="0" applyNumberFormat="1" applyFont="1" applyFill="1" applyBorder="1" applyAlignment="1">
      <alignment horizontal="left" vertical="center"/>
    </xf>
    <xf numFmtId="0" fontId="11" fillId="2" borderId="1" xfId="4" applyFont="1" applyFill="1" applyBorder="1" applyAlignment="1">
      <alignment horizontal="left" vertical="center"/>
    </xf>
    <xf numFmtId="0" fontId="8" fillId="2" borderId="1" xfId="4" applyFont="1" applyFill="1" applyBorder="1" applyAlignment="1">
      <alignment horizontal="left" vertical="center"/>
    </xf>
    <xf numFmtId="4" fontId="10" fillId="2" borderId="1" xfId="0" applyNumberFormat="1" applyFont="1" applyFill="1" applyBorder="1" applyAlignment="1">
      <alignment horizontal="left" vertical="center"/>
    </xf>
    <xf numFmtId="0" fontId="11" fillId="0" borderId="2" xfId="0" applyFont="1" applyFill="1" applyBorder="1" applyAlignment="1" applyProtection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horizontal="left" vertical="center"/>
    </xf>
    <xf numFmtId="0" fontId="11" fillId="0" borderId="3" xfId="0" applyFont="1" applyFill="1" applyBorder="1" applyAlignment="1" applyProtection="1">
      <alignment horizontal="left" vertical="center"/>
    </xf>
    <xf numFmtId="0" fontId="14" fillId="0" borderId="1" xfId="0" applyFont="1" applyFill="1" applyBorder="1" applyAlignment="1">
      <alignment horizontal="left" vertical="center"/>
    </xf>
    <xf numFmtId="0" fontId="10" fillId="0" borderId="2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/>
    </xf>
    <xf numFmtId="0" fontId="17" fillId="2" borderId="1" xfId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0" borderId="7" xfId="0" applyFont="1" applyFill="1" applyBorder="1" applyAlignment="1" applyProtection="1">
      <alignment horizontal="left" vertical="center"/>
    </xf>
    <xf numFmtId="0" fontId="8" fillId="0" borderId="5" xfId="0" applyNumberFormat="1" applyFont="1" applyFill="1" applyBorder="1" applyAlignment="1" applyProtection="1">
      <alignment horizontal="left" vertical="center"/>
    </xf>
    <xf numFmtId="0" fontId="17" fillId="0" borderId="7" xfId="1" applyFont="1" applyFill="1" applyBorder="1" applyAlignment="1" applyProtection="1">
      <alignment horizontal="left" vertical="center"/>
    </xf>
    <xf numFmtId="0" fontId="8" fillId="3" borderId="8" xfId="0" applyNumberFormat="1" applyFont="1" applyFill="1" applyBorder="1" applyAlignment="1">
      <alignment horizontal="left" vertical="center"/>
    </xf>
    <xf numFmtId="0" fontId="8" fillId="0" borderId="1" xfId="0" applyNumberFormat="1" applyFont="1" applyFill="1" applyBorder="1" applyAlignment="1" applyProtection="1">
      <alignment horizontal="left" vertical="center"/>
    </xf>
    <xf numFmtId="0" fontId="8" fillId="0" borderId="9" xfId="0" applyNumberFormat="1" applyFont="1" applyFill="1" applyBorder="1" applyAlignment="1" applyProtection="1">
      <alignment horizontal="left" vertical="center"/>
    </xf>
    <xf numFmtId="0" fontId="8" fillId="0" borderId="1" xfId="0" applyNumberFormat="1" applyFont="1" applyFill="1" applyBorder="1" applyAlignment="1" applyProtection="1">
      <alignment horizontal="left" vertical="center"/>
    </xf>
    <xf numFmtId="0" fontId="8" fillId="0" borderId="6" xfId="0" applyNumberFormat="1" applyFont="1" applyFill="1" applyBorder="1" applyAlignment="1" applyProtection="1">
      <alignment horizontal="left" vertical="center"/>
    </xf>
    <xf numFmtId="0" fontId="17" fillId="2" borderId="1" xfId="1" applyFont="1" applyFill="1" applyBorder="1" applyAlignment="1">
      <alignment horizontal="left" vertical="center"/>
    </xf>
    <xf numFmtId="0" fontId="17" fillId="0" borderId="1" xfId="1" applyFont="1" applyFill="1" applyBorder="1" applyAlignment="1" applyProtection="1">
      <alignment horizontal="left" vertical="center"/>
    </xf>
    <xf numFmtId="0" fontId="8" fillId="0" borderId="10" xfId="0" applyFont="1" applyFill="1" applyBorder="1" applyAlignment="1">
      <alignment horizontal="left" vertical="center"/>
    </xf>
    <xf numFmtId="0" fontId="8" fillId="0" borderId="10" xfId="0" applyNumberFormat="1" applyFont="1" applyFill="1" applyBorder="1" applyAlignment="1">
      <alignment horizontal="left" vertical="center"/>
    </xf>
    <xf numFmtId="0" fontId="17" fillId="3" borderId="1" xfId="1" applyFont="1" applyFill="1" applyBorder="1" applyAlignment="1">
      <alignment horizontal="left" vertical="center"/>
    </xf>
    <xf numFmtId="0" fontId="8" fillId="0" borderId="1" xfId="4" applyNumberFormat="1" applyFont="1" applyFill="1" applyBorder="1" applyAlignment="1">
      <alignment horizontal="left" vertical="center"/>
    </xf>
    <xf numFmtId="0" fontId="8" fillId="3" borderId="11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0" fontId="15" fillId="3" borderId="11" xfId="1" applyFont="1" applyFill="1" applyBorder="1" applyAlignment="1">
      <alignment horizontal="left" vertical="center"/>
    </xf>
    <xf numFmtId="0" fontId="16" fillId="3" borderId="11" xfId="1" applyFont="1" applyFill="1" applyBorder="1" applyAlignment="1">
      <alignment horizontal="left" vertical="center"/>
    </xf>
    <xf numFmtId="0" fontId="8" fillId="2" borderId="1" xfId="0" applyNumberFormat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16" fillId="3" borderId="11" xfId="1" applyFont="1" applyFill="1" applyBorder="1" applyAlignment="1" applyProtection="1">
      <alignment horizontal="left" vertical="center"/>
    </xf>
    <xf numFmtId="4" fontId="10" fillId="0" borderId="1" xfId="0" applyNumberFormat="1" applyFont="1" applyFill="1" applyBorder="1" applyAlignment="1">
      <alignment horizontal="left" vertical="center"/>
    </xf>
    <xf numFmtId="0" fontId="19" fillId="2" borderId="1" xfId="0" applyFont="1" applyFill="1" applyBorder="1" applyAlignment="1">
      <alignment horizontal="left" vertical="center" wrapText="1"/>
    </xf>
    <xf numFmtId="0" fontId="19" fillId="2" borderId="2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left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165" fontId="8" fillId="0" borderId="1" xfId="2" applyNumberFormat="1" applyFont="1" applyFill="1" applyBorder="1" applyAlignment="1">
      <alignment horizontal="left" vertical="center"/>
    </xf>
    <xf numFmtId="168" fontId="3" fillId="3" borderId="2" xfId="0" applyNumberFormat="1" applyFont="1" applyFill="1" applyBorder="1" applyAlignment="1">
      <alignment horizontal="left" vertical="center" wrapText="1"/>
    </xf>
    <xf numFmtId="0" fontId="19" fillId="2" borderId="2" xfId="0" applyFont="1" applyFill="1" applyBorder="1" applyAlignment="1">
      <alignment horizontal="left" vertical="center" wrapText="1"/>
    </xf>
    <xf numFmtId="170" fontId="3" fillId="2" borderId="2" xfId="0" applyNumberFormat="1" applyFont="1" applyFill="1" applyBorder="1" applyAlignment="1">
      <alignment horizontal="left" vertical="center"/>
    </xf>
    <xf numFmtId="170" fontId="3" fillId="2" borderId="2" xfId="0" applyNumberFormat="1" applyFont="1" applyFill="1" applyBorder="1" applyAlignment="1">
      <alignment horizontal="left" vertical="center"/>
    </xf>
    <xf numFmtId="165" fontId="3" fillId="2" borderId="1" xfId="0" applyNumberFormat="1" applyFont="1" applyFill="1" applyBorder="1" applyAlignment="1">
      <alignment horizontal="left" vertical="center"/>
    </xf>
    <xf numFmtId="0" fontId="21" fillId="2" borderId="0" xfId="0" applyFont="1" applyFill="1" applyAlignment="1">
      <alignment horizontal="left" vertical="center"/>
    </xf>
    <xf numFmtId="0" fontId="22" fillId="0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 vertical="center"/>
    </xf>
    <xf numFmtId="165" fontId="2" fillId="2" borderId="0" xfId="0" applyNumberFormat="1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/>
    </xf>
    <xf numFmtId="0" fontId="8" fillId="0" borderId="1" xfId="3" applyNumberFormat="1" applyFont="1" applyFill="1" applyBorder="1" applyAlignment="1">
      <alignment horizontal="left" vertical="center"/>
    </xf>
    <xf numFmtId="0" fontId="14" fillId="0" borderId="1" xfId="3" applyNumberFormat="1" applyFont="1" applyFill="1" applyBorder="1" applyAlignment="1">
      <alignment horizontal="left" vertical="center"/>
    </xf>
    <xf numFmtId="4" fontId="16" fillId="3" borderId="11" xfId="1" applyNumberFormat="1" applyFont="1" applyFill="1" applyBorder="1" applyAlignment="1" applyProtection="1">
      <alignment horizontal="left" vertical="center"/>
    </xf>
    <xf numFmtId="0" fontId="15" fillId="3" borderId="0" xfId="1" applyFont="1" applyFill="1" applyBorder="1" applyAlignment="1">
      <alignment horizontal="left" vertical="center"/>
    </xf>
    <xf numFmtId="0" fontId="16" fillId="3" borderId="0" xfId="1" applyFont="1" applyFill="1" applyBorder="1" applyAlignment="1">
      <alignment horizontal="left" vertical="center"/>
    </xf>
    <xf numFmtId="0" fontId="19" fillId="2" borderId="1" xfId="0" applyFont="1" applyFill="1" applyBorder="1" applyAlignment="1">
      <alignment horizontal="left" vertical="center" wrapText="1"/>
    </xf>
    <xf numFmtId="10" fontId="19" fillId="2" borderId="1" xfId="0" applyNumberFormat="1" applyFont="1" applyFill="1" applyBorder="1" applyAlignment="1">
      <alignment horizontal="left" vertical="center" wrapText="1"/>
    </xf>
    <xf numFmtId="0" fontId="19" fillId="2" borderId="1" xfId="0" applyNumberFormat="1" applyFont="1" applyFill="1" applyBorder="1" applyAlignment="1">
      <alignment horizontal="left" vertical="center" wrapText="1"/>
    </xf>
    <xf numFmtId="0" fontId="3" fillId="2" borderId="11" xfId="0" applyFont="1" applyFill="1" applyBorder="1" applyAlignment="1">
      <alignment horizontal="left" vertical="center"/>
    </xf>
    <xf numFmtId="10" fontId="2" fillId="2" borderId="0" xfId="0" applyNumberFormat="1" applyFont="1" applyFill="1" applyBorder="1" applyAlignment="1">
      <alignment horizontal="left" vertical="center"/>
    </xf>
    <xf numFmtId="0" fontId="2" fillId="2" borderId="0" xfId="0" applyNumberFormat="1" applyFont="1" applyFill="1" applyBorder="1" applyAlignment="1">
      <alignment horizontal="left" vertical="center"/>
    </xf>
    <xf numFmtId="0" fontId="14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 applyProtection="1">
      <alignment horizontal="left" vertical="center"/>
    </xf>
    <xf numFmtId="0" fontId="5" fillId="0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left" vertical="center" wrapText="1"/>
    </xf>
    <xf numFmtId="0" fontId="23" fillId="0" borderId="1" xfId="0" applyFont="1" applyFill="1" applyBorder="1" applyAlignment="1">
      <alignment horizontal="left" vertical="center"/>
    </xf>
    <xf numFmtId="0" fontId="23" fillId="0" borderId="4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left" vertical="center"/>
    </xf>
    <xf numFmtId="4" fontId="10" fillId="4" borderId="1" xfId="0" applyNumberFormat="1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left" vertical="center" wrapText="1"/>
    </xf>
    <xf numFmtId="0" fontId="25" fillId="2" borderId="1" xfId="0" applyFont="1" applyFill="1" applyBorder="1" applyAlignment="1">
      <alignment horizontal="left" vertical="center" wrapText="1"/>
    </xf>
    <xf numFmtId="0" fontId="23" fillId="2" borderId="2" xfId="0" applyFont="1" applyFill="1" applyBorder="1" applyAlignment="1">
      <alignment horizontal="left" vertical="center"/>
    </xf>
    <xf numFmtId="0" fontId="23" fillId="0" borderId="4" xfId="0" applyFont="1" applyFill="1" applyBorder="1" applyAlignment="1" applyProtection="1">
      <alignment horizontal="left" vertical="center"/>
    </xf>
    <xf numFmtId="0" fontId="8" fillId="4" borderId="5" xfId="0" applyNumberFormat="1" applyFont="1" applyFill="1" applyBorder="1" applyAlignment="1" applyProtection="1">
      <alignment horizontal="left" vertical="center"/>
    </xf>
    <xf numFmtId="0" fontId="26" fillId="0" borderId="1" xfId="0" applyFont="1" applyFill="1" applyBorder="1" applyAlignment="1" applyProtection="1">
      <alignment horizontal="left" vertical="center"/>
    </xf>
    <xf numFmtId="0" fontId="23" fillId="2" borderId="1" xfId="0" applyFont="1" applyFill="1" applyBorder="1" applyAlignment="1">
      <alignment horizontal="left" vertical="center"/>
    </xf>
    <xf numFmtId="0" fontId="8" fillId="4" borderId="1" xfId="0" applyNumberFormat="1" applyFont="1" applyFill="1" applyBorder="1" applyAlignment="1">
      <alignment horizontal="left" vertical="center"/>
    </xf>
    <xf numFmtId="170" fontId="3" fillId="4" borderId="2" xfId="0" applyNumberFormat="1" applyFont="1" applyFill="1" applyBorder="1" applyAlignment="1">
      <alignment horizontal="left" vertical="center"/>
    </xf>
    <xf numFmtId="0" fontId="21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left" vertical="center" wrapText="1"/>
    </xf>
    <xf numFmtId="0" fontId="6" fillId="2" borderId="11" xfId="0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left" vertical="center"/>
    </xf>
    <xf numFmtId="4" fontId="10" fillId="3" borderId="16" xfId="0" applyNumberFormat="1" applyFont="1" applyFill="1" applyBorder="1" applyAlignment="1">
      <alignment horizontal="left" vertical="center"/>
    </xf>
    <xf numFmtId="0" fontId="11" fillId="2" borderId="7" xfId="0" applyFont="1" applyFill="1" applyBorder="1" applyAlignment="1" applyProtection="1">
      <alignment horizontal="left" vertical="center"/>
    </xf>
    <xf numFmtId="0" fontId="8" fillId="2" borderId="7" xfId="0" applyFont="1" applyFill="1" applyBorder="1" applyAlignment="1" applyProtection="1">
      <alignment horizontal="left" vertical="center"/>
    </xf>
    <xf numFmtId="0" fontId="8" fillId="2" borderId="4" xfId="0" applyFont="1" applyFill="1" applyBorder="1" applyAlignment="1" applyProtection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8" fillId="3" borderId="0" xfId="0" applyFont="1" applyFill="1" applyBorder="1" applyAlignment="1">
      <alignment horizontal="left" vertical="center"/>
    </xf>
    <xf numFmtId="0" fontId="11" fillId="0" borderId="7" xfId="0" applyFont="1" applyFill="1" applyBorder="1" applyAlignment="1" applyProtection="1">
      <alignment horizontal="left" vertical="center"/>
    </xf>
    <xf numFmtId="0" fontId="8" fillId="0" borderId="2" xfId="4" applyFont="1" applyFill="1" applyBorder="1" applyAlignment="1">
      <alignment horizontal="left" vertical="center"/>
    </xf>
    <xf numFmtId="0" fontId="11" fillId="0" borderId="2" xfId="4" applyFont="1" applyFill="1" applyBorder="1" applyAlignment="1">
      <alignment horizontal="left" vertical="center"/>
    </xf>
    <xf numFmtId="168" fontId="8" fillId="3" borderId="11" xfId="0" applyNumberFormat="1" applyFont="1" applyFill="1" applyBorder="1" applyAlignment="1">
      <alignment horizontal="left" vertical="center"/>
    </xf>
    <xf numFmtId="0" fontId="19" fillId="2" borderId="17" xfId="0" applyFont="1" applyFill="1" applyBorder="1" applyAlignment="1">
      <alignment horizontal="left" vertical="center" wrapText="1"/>
    </xf>
    <xf numFmtId="0" fontId="19" fillId="2" borderId="17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left" vertical="center"/>
    </xf>
    <xf numFmtId="166" fontId="3" fillId="2" borderId="18" xfId="0" applyNumberFormat="1" applyFont="1" applyFill="1" applyBorder="1" applyAlignment="1">
      <alignment horizontal="left" vertical="center"/>
    </xf>
    <xf numFmtId="166" fontId="3" fillId="2" borderId="0" xfId="0" applyNumberFormat="1" applyFont="1" applyFill="1" applyBorder="1" applyAlignment="1">
      <alignment horizontal="left" vertical="center"/>
    </xf>
    <xf numFmtId="170" fontId="3" fillId="2" borderId="17" xfId="0" applyNumberFormat="1" applyFont="1" applyFill="1" applyBorder="1" applyAlignment="1">
      <alignment horizontal="left" vertical="center"/>
    </xf>
    <xf numFmtId="170" fontId="3" fillId="2" borderId="0" xfId="0" applyNumberFormat="1" applyFont="1" applyFill="1" applyBorder="1" applyAlignment="1">
      <alignment horizontal="left" vertical="center"/>
    </xf>
    <xf numFmtId="0" fontId="27" fillId="2" borderId="0" xfId="0" applyFont="1" applyFill="1" applyBorder="1" applyAlignment="1">
      <alignment vertical="center"/>
    </xf>
    <xf numFmtId="0" fontId="28" fillId="2" borderId="0" xfId="0" applyFont="1" applyFill="1" applyBorder="1" applyAlignment="1">
      <alignment vertical="center"/>
    </xf>
    <xf numFmtId="0" fontId="27" fillId="2" borderId="1" xfId="0" applyFont="1" applyFill="1" applyBorder="1" applyAlignment="1">
      <alignment vertical="center"/>
    </xf>
    <xf numFmtId="0" fontId="27" fillId="2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/>
    <xf numFmtId="165" fontId="27" fillId="2" borderId="0" xfId="0" applyNumberFormat="1" applyFont="1" applyFill="1" applyBorder="1" applyAlignment="1">
      <alignment vertical="center"/>
    </xf>
    <xf numFmtId="0" fontId="30" fillId="0" borderId="0" xfId="0" applyFont="1" applyFill="1" applyBorder="1" applyAlignment="1"/>
    <xf numFmtId="167" fontId="27" fillId="2" borderId="0" xfId="0" applyNumberFormat="1" applyFont="1" applyFill="1" applyBorder="1" applyAlignment="1">
      <alignment vertical="center"/>
    </xf>
    <xf numFmtId="167" fontId="31" fillId="2" borderId="0" xfId="0" applyNumberFormat="1" applyFont="1" applyFill="1" applyBorder="1" applyAlignment="1">
      <alignment vertical="center"/>
    </xf>
    <xf numFmtId="0" fontId="27" fillId="2" borderId="0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vertical="center"/>
    </xf>
    <xf numFmtId="0" fontId="25" fillId="2" borderId="11" xfId="0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vertical="center" wrapText="1"/>
    </xf>
    <xf numFmtId="0" fontId="28" fillId="2" borderId="1" xfId="0" applyFont="1" applyFill="1" applyBorder="1" applyAlignment="1">
      <alignment horizontal="left"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4" fontId="34" fillId="3" borderId="16" xfId="0" applyNumberFormat="1" applyFont="1" applyFill="1" applyBorder="1" applyAlignment="1">
      <alignment horizontal="center" vertical="center"/>
    </xf>
    <xf numFmtId="0" fontId="33" fillId="2" borderId="2" xfId="0" applyNumberFormat="1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168" fontId="34" fillId="3" borderId="1" xfId="0" applyNumberFormat="1" applyFont="1" applyFill="1" applyBorder="1" applyAlignment="1">
      <alignment horizontal="center" vertical="center"/>
    </xf>
    <xf numFmtId="4" fontId="34" fillId="3" borderId="1" xfId="0" applyNumberFormat="1" applyFont="1" applyFill="1" applyBorder="1" applyAlignment="1">
      <alignment horizontal="center" vertical="center"/>
    </xf>
    <xf numFmtId="49" fontId="34" fillId="6" borderId="1" xfId="0" applyNumberFormat="1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3" fillId="0" borderId="7" xfId="0" applyFont="1" applyFill="1" applyBorder="1" applyAlignment="1" applyProtection="1">
      <alignment horizontal="center" vertical="center"/>
    </xf>
    <xf numFmtId="0" fontId="33" fillId="2" borderId="7" xfId="0" applyFont="1" applyFill="1" applyBorder="1" applyAlignment="1" applyProtection="1">
      <alignment horizontal="center" vertical="center"/>
    </xf>
    <xf numFmtId="0" fontId="33" fillId="0" borderId="4" xfId="0" applyFont="1" applyFill="1" applyBorder="1" applyAlignment="1" applyProtection="1">
      <alignment horizontal="center" vertical="center"/>
    </xf>
    <xf numFmtId="0" fontId="33" fillId="0" borderId="1" xfId="0" applyFont="1" applyFill="1" applyBorder="1" applyAlignment="1" applyProtection="1">
      <alignment horizontal="center" vertical="center"/>
    </xf>
    <xf numFmtId="0" fontId="33" fillId="2" borderId="1" xfId="0" applyFont="1" applyFill="1" applyBorder="1" applyAlignment="1" applyProtection="1">
      <alignment horizontal="center" vertical="center"/>
    </xf>
    <xf numFmtId="0" fontId="25" fillId="2" borderId="1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/>
    </xf>
    <xf numFmtId="0" fontId="34" fillId="3" borderId="1" xfId="0" applyNumberFormat="1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164" fontId="34" fillId="3" borderId="1" xfId="0" applyNumberFormat="1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165" fontId="31" fillId="2" borderId="0" xfId="0" applyNumberFormat="1" applyFont="1" applyFill="1" applyBorder="1" applyAlignment="1">
      <alignment vertical="center"/>
    </xf>
    <xf numFmtId="0" fontId="31" fillId="4" borderId="0" xfId="0" applyFont="1" applyFill="1" applyBorder="1" applyAlignment="1">
      <alignment vertical="center"/>
    </xf>
    <xf numFmtId="0" fontId="31" fillId="2" borderId="0" xfId="0" applyFont="1" applyFill="1" applyBorder="1" applyAlignment="1">
      <alignment vertical="center"/>
    </xf>
    <xf numFmtId="0" fontId="31" fillId="7" borderId="0" xfId="0" applyFont="1" applyFill="1" applyBorder="1" applyAlignment="1">
      <alignment vertical="center"/>
    </xf>
    <xf numFmtId="165" fontId="28" fillId="2" borderId="1" xfId="0" applyNumberFormat="1" applyFont="1" applyFill="1" applyBorder="1" applyAlignment="1">
      <alignment horizontal="center" vertical="center" wrapText="1"/>
    </xf>
    <xf numFmtId="165" fontId="25" fillId="2" borderId="1" xfId="0" applyNumberFormat="1" applyFont="1" applyFill="1" applyBorder="1" applyAlignment="1">
      <alignment horizontal="center" vertical="center"/>
    </xf>
    <xf numFmtId="165" fontId="26" fillId="2" borderId="1" xfId="2" applyNumberFormat="1" applyFont="1" applyFill="1" applyBorder="1" applyAlignment="1">
      <alignment horizontal="center" vertical="center"/>
    </xf>
    <xf numFmtId="165" fontId="26" fillId="2" borderId="4" xfId="2" applyNumberFormat="1" applyFont="1" applyFill="1" applyBorder="1" applyAlignment="1">
      <alignment horizontal="center" vertical="center"/>
    </xf>
    <xf numFmtId="0" fontId="36" fillId="3" borderId="1" xfId="1" applyFont="1" applyFill="1" applyBorder="1" applyAlignment="1">
      <alignment horizontal="center" vertical="center"/>
    </xf>
    <xf numFmtId="0" fontId="37" fillId="0" borderId="1" xfId="0" applyFont="1" applyFill="1" applyBorder="1" applyAlignment="1">
      <alignment horizontal="center" vertical="center"/>
    </xf>
    <xf numFmtId="4" fontId="38" fillId="3" borderId="1" xfId="1" applyNumberFormat="1" applyFont="1" applyFill="1" applyBorder="1" applyAlignment="1" applyProtection="1">
      <alignment horizontal="center" vertical="center"/>
    </xf>
    <xf numFmtId="0" fontId="32" fillId="2" borderId="1" xfId="0" applyFont="1" applyFill="1" applyBorder="1" applyAlignment="1" applyProtection="1">
      <alignment horizontal="center" vertical="center"/>
    </xf>
    <xf numFmtId="0" fontId="37" fillId="3" borderId="1" xfId="0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0" fontId="37" fillId="3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6" fillId="0" borderId="1" xfId="0" applyFont="1" applyFill="1" applyBorder="1" applyAlignment="1" applyProtection="1">
      <alignment horizontal="center" vertical="center"/>
    </xf>
    <xf numFmtId="168" fontId="26" fillId="3" borderId="1" xfId="0" applyNumberFormat="1" applyFont="1" applyFill="1" applyBorder="1" applyAlignment="1">
      <alignment horizontal="center" vertical="center"/>
    </xf>
    <xf numFmtId="0" fontId="26" fillId="0" borderId="1" xfId="4" applyFont="1" applyFill="1" applyBorder="1" applyAlignment="1">
      <alignment horizontal="center" vertical="center"/>
    </xf>
    <xf numFmtId="0" fontId="33" fillId="0" borderId="1" xfId="4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26" fillId="0" borderId="2" xfId="4" applyFont="1" applyFill="1" applyBorder="1" applyAlignment="1">
      <alignment horizontal="center" vertical="center"/>
    </xf>
    <xf numFmtId="0" fontId="33" fillId="0" borderId="2" xfId="4" applyFont="1" applyFill="1" applyBorder="1" applyAlignment="1">
      <alignment horizontal="center" vertical="center"/>
    </xf>
    <xf numFmtId="0" fontId="36" fillId="2" borderId="1" xfId="1" applyFont="1" applyFill="1" applyBorder="1" applyAlignment="1">
      <alignment horizontal="center" vertical="center"/>
    </xf>
    <xf numFmtId="0" fontId="39" fillId="3" borderId="1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8" fontId="26" fillId="3" borderId="11" xfId="0" applyNumberFormat="1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/>
    </xf>
    <xf numFmtId="168" fontId="34" fillId="2" borderId="1" xfId="0" applyNumberFormat="1" applyFont="1" applyFill="1" applyBorder="1" applyAlignment="1">
      <alignment horizontal="center" vertical="center"/>
    </xf>
    <xf numFmtId="0" fontId="33" fillId="2" borderId="1" xfId="4" applyFont="1" applyFill="1" applyBorder="1" applyAlignment="1">
      <alignment horizontal="center" vertical="center"/>
    </xf>
    <xf numFmtId="4" fontId="34" fillId="2" borderId="1" xfId="0" applyNumberFormat="1" applyFont="1" applyFill="1" applyBorder="1" applyAlignment="1">
      <alignment horizontal="center" vertical="center"/>
    </xf>
    <xf numFmtId="0" fontId="34" fillId="2" borderId="1" xfId="0" applyNumberFormat="1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/>
    </xf>
    <xf numFmtId="49" fontId="34" fillId="3" borderId="1" xfId="0" applyNumberFormat="1" applyFont="1" applyFill="1" applyBorder="1" applyAlignment="1">
      <alignment horizontal="center" vertical="center"/>
    </xf>
    <xf numFmtId="168" fontId="32" fillId="3" borderId="1" xfId="0" applyNumberFormat="1" applyFont="1" applyFill="1" applyBorder="1" applyAlignment="1">
      <alignment horizontal="center" vertical="center"/>
    </xf>
    <xf numFmtId="0" fontId="32" fillId="0" borderId="1" xfId="0" applyFont="1" applyFill="1" applyBorder="1" applyAlignment="1" applyProtection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168" fontId="3" fillId="3" borderId="2" xfId="0" applyNumberFormat="1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left" vertical="center"/>
    </xf>
    <xf numFmtId="166" fontId="27" fillId="2" borderId="18" xfId="0" applyNumberFormat="1" applyFont="1" applyFill="1" applyBorder="1" applyAlignment="1">
      <alignment vertical="center"/>
    </xf>
    <xf numFmtId="170" fontId="27" fillId="2" borderId="17" xfId="0" applyNumberFormat="1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 applyProtection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6" fontId="19" fillId="2" borderId="2" xfId="0" applyNumberFormat="1" applyFont="1" applyFill="1" applyBorder="1" applyAlignment="1">
      <alignment horizontal="center" vertical="center" wrapText="1"/>
    </xf>
    <xf numFmtId="170" fontId="3" fillId="2" borderId="2" xfId="0" applyNumberFormat="1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38" fillId="3" borderId="1" xfId="1" applyFont="1" applyFill="1" applyBorder="1" applyAlignment="1" applyProtection="1">
      <alignment horizontal="center" vertical="center"/>
    </xf>
    <xf numFmtId="169" fontId="32" fillId="0" borderId="1" xfId="3" applyNumberFormat="1" applyFont="1" applyFill="1" applyBorder="1" applyAlignment="1">
      <alignment horizontal="center" vertical="center"/>
    </xf>
    <xf numFmtId="0" fontId="32" fillId="0" borderId="1" xfId="4" applyFont="1" applyFill="1" applyBorder="1" applyAlignment="1">
      <alignment horizontal="center" vertical="center"/>
    </xf>
    <xf numFmtId="0" fontId="36" fillId="3" borderId="0" xfId="1" applyFont="1" applyFill="1" applyBorder="1" applyAlignment="1">
      <alignment horizontal="center" vertical="center"/>
    </xf>
    <xf numFmtId="165" fontId="3" fillId="2" borderId="1" xfId="2" applyNumberFormat="1" applyFont="1" applyFill="1" applyBorder="1" applyAlignment="1">
      <alignment horizontal="center" vertical="center"/>
    </xf>
    <xf numFmtId="165" fontId="3" fillId="2" borderId="4" xfId="2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left" vertical="center"/>
    </xf>
    <xf numFmtId="0" fontId="23" fillId="0" borderId="2" xfId="0" applyFont="1" applyFill="1" applyBorder="1" applyAlignment="1">
      <alignment horizontal="left" vertical="center"/>
    </xf>
    <xf numFmtId="0" fontId="23" fillId="4" borderId="19" xfId="0" applyFont="1" applyFill="1" applyBorder="1" applyAlignment="1">
      <alignment horizontal="left" vertical="center"/>
    </xf>
    <xf numFmtId="0" fontId="23" fillId="4" borderId="16" xfId="0" applyFont="1" applyFill="1" applyBorder="1" applyAlignment="1">
      <alignment horizontal="left" vertical="center"/>
    </xf>
    <xf numFmtId="0" fontId="23" fillId="4" borderId="0" xfId="0" applyFont="1" applyFill="1" applyBorder="1" applyAlignment="1" applyProtection="1">
      <alignment horizontal="left" vertical="center"/>
    </xf>
    <xf numFmtId="0" fontId="23" fillId="4" borderId="19" xfId="0" applyFont="1" applyFill="1" applyBorder="1" applyAlignment="1" applyProtection="1">
      <alignment horizontal="left" vertical="center"/>
    </xf>
    <xf numFmtId="0" fontId="23" fillId="4" borderId="20" xfId="0" applyFont="1" applyFill="1" applyBorder="1" applyAlignment="1" applyProtection="1">
      <alignment horizontal="left" vertical="center"/>
    </xf>
    <xf numFmtId="0" fontId="23" fillId="0" borderId="19" xfId="0" applyFont="1" applyFill="1" applyBorder="1" applyAlignment="1" applyProtection="1">
      <alignment horizontal="left" vertical="center"/>
    </xf>
    <xf numFmtId="0" fontId="23" fillId="4" borderId="2" xfId="0" applyFont="1" applyFill="1" applyBorder="1" applyAlignment="1" applyProtection="1">
      <alignment horizontal="left" vertical="center"/>
    </xf>
    <xf numFmtId="0" fontId="26" fillId="4" borderId="2" xfId="0" applyFont="1" applyFill="1" applyBorder="1" applyAlignment="1" applyProtection="1">
      <alignment horizontal="left" vertical="center"/>
    </xf>
    <xf numFmtId="0" fontId="26" fillId="0" borderId="2" xfId="0" applyFont="1" applyFill="1" applyBorder="1" applyAlignment="1" applyProtection="1">
      <alignment horizontal="left" vertical="center"/>
    </xf>
    <xf numFmtId="0" fontId="0" fillId="8" borderId="0" xfId="0" applyFill="1">
      <alignment vertical="center"/>
    </xf>
    <xf numFmtId="49" fontId="8" fillId="2" borderId="5" xfId="0" applyNumberFormat="1" applyFont="1" applyFill="1" applyBorder="1" applyAlignment="1" applyProtection="1">
      <alignment horizontal="left" vertical="center"/>
    </xf>
    <xf numFmtId="49" fontId="8" fillId="2" borderId="6" xfId="0" applyNumberFormat="1" applyFont="1" applyFill="1" applyBorder="1" applyAlignment="1" applyProtection="1">
      <alignment horizontal="left" vertical="center"/>
    </xf>
    <xf numFmtId="0" fontId="26" fillId="0" borderId="1" xfId="0" applyFont="1" applyFill="1" applyBorder="1" applyAlignment="1" applyProtection="1">
      <alignment horizontal="center" vertical="center"/>
    </xf>
    <xf numFmtId="0" fontId="33" fillId="0" borderId="4" xfId="0" applyFont="1" applyFill="1" applyBorder="1" applyAlignment="1" applyProtection="1">
      <alignment horizontal="center" vertical="center"/>
    </xf>
    <xf numFmtId="0" fontId="33" fillId="0" borderId="15" xfId="0" applyFont="1" applyFill="1" applyBorder="1" applyAlignment="1" applyProtection="1">
      <alignment horizontal="center" vertical="center"/>
    </xf>
    <xf numFmtId="0" fontId="33" fillId="0" borderId="1" xfId="0" applyFont="1" applyFill="1" applyBorder="1" applyAlignment="1" applyProtection="1">
      <alignment horizontal="center" vertical="center"/>
    </xf>
    <xf numFmtId="0" fontId="33" fillId="2" borderId="7" xfId="0" applyFont="1" applyFill="1" applyBorder="1" applyAlignment="1" applyProtection="1">
      <alignment horizontal="center" vertical="center"/>
    </xf>
    <xf numFmtId="0" fontId="33" fillId="0" borderId="7" xfId="0" applyFont="1" applyFill="1" applyBorder="1" applyAlignment="1" applyProtection="1">
      <alignment horizontal="center" vertical="center"/>
    </xf>
    <xf numFmtId="0" fontId="32" fillId="0" borderId="4" xfId="0" applyFont="1" applyFill="1" applyBorder="1" applyAlignment="1">
      <alignment horizontal="center" vertical="center"/>
    </xf>
    <xf numFmtId="0" fontId="32" fillId="0" borderId="10" xfId="0" applyFont="1" applyFill="1" applyBorder="1" applyAlignment="1">
      <alignment horizontal="center" vertical="center"/>
    </xf>
    <xf numFmtId="0" fontId="33" fillId="0" borderId="13" xfId="0" applyFont="1" applyFill="1" applyBorder="1" applyAlignment="1" applyProtection="1">
      <alignment horizontal="center" vertical="center"/>
    </xf>
    <xf numFmtId="0" fontId="33" fillId="0" borderId="14" xfId="0" applyFont="1" applyFill="1" applyBorder="1" applyAlignment="1" applyProtection="1">
      <alignment horizontal="center" vertical="center"/>
    </xf>
    <xf numFmtId="0" fontId="34" fillId="3" borderId="15" xfId="0" applyNumberFormat="1" applyFont="1" applyFill="1" applyBorder="1" applyAlignment="1">
      <alignment horizontal="center" vertical="center"/>
    </xf>
    <xf numFmtId="49" fontId="34" fillId="3" borderId="10" xfId="0" applyNumberFormat="1" applyFont="1" applyFill="1" applyBorder="1" applyAlignment="1">
      <alignment horizontal="center" vertical="center"/>
    </xf>
    <xf numFmtId="0" fontId="26" fillId="6" borderId="1" xfId="0" applyFont="1" applyFill="1" applyBorder="1" applyAlignment="1" applyProtection="1">
      <alignment horizontal="center" vertical="center"/>
    </xf>
    <xf numFmtId="0" fontId="33" fillId="6" borderId="1" xfId="0" applyFont="1" applyFill="1" applyBorder="1" applyAlignment="1" applyProtection="1">
      <alignment horizontal="center" vertical="center"/>
    </xf>
    <xf numFmtId="0" fontId="33" fillId="6" borderId="7" xfId="0" applyFont="1" applyFill="1" applyBorder="1" applyAlignment="1" applyProtection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10" xfId="0" applyFont="1" applyFill="1" applyBorder="1" applyAlignment="1">
      <alignment horizontal="center" vertical="center"/>
    </xf>
    <xf numFmtId="49" fontId="34" fillId="6" borderId="15" xfId="0" applyNumberFormat="1" applyFont="1" applyFill="1" applyBorder="1" applyAlignment="1">
      <alignment horizontal="center" vertical="center"/>
    </xf>
    <xf numFmtId="49" fontId="34" fillId="6" borderId="10" xfId="0" applyNumberFormat="1" applyFont="1" applyFill="1" applyBorder="1" applyAlignment="1">
      <alignment horizontal="center" vertical="center"/>
    </xf>
    <xf numFmtId="49" fontId="34" fillId="3" borderId="15" xfId="0" applyNumberFormat="1" applyFont="1" applyFill="1" applyBorder="1" applyAlignment="1">
      <alignment horizontal="center" vertical="center"/>
    </xf>
    <xf numFmtId="0" fontId="33" fillId="6" borderId="13" xfId="0" applyFont="1" applyFill="1" applyBorder="1" applyAlignment="1" applyProtection="1">
      <alignment horizontal="center" vertical="center"/>
    </xf>
    <xf numFmtId="0" fontId="33" fillId="6" borderId="14" xfId="0" applyFont="1" applyFill="1" applyBorder="1" applyAlignment="1" applyProtection="1">
      <alignment horizontal="center" vertical="center"/>
    </xf>
    <xf numFmtId="0" fontId="25" fillId="2" borderId="1" xfId="0" applyFont="1" applyFill="1" applyBorder="1" applyAlignment="1">
      <alignment vertical="center"/>
    </xf>
    <xf numFmtId="0" fontId="28" fillId="2" borderId="1" xfId="0" applyFont="1" applyFill="1" applyBorder="1" applyAlignment="1">
      <alignment horizontal="center" vertical="center"/>
    </xf>
    <xf numFmtId="0" fontId="25" fillId="2" borderId="2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25" fillId="2" borderId="11" xfId="0" applyFont="1" applyFill="1" applyBorder="1" applyAlignment="1">
      <alignment horizontal="center" vertical="center" wrapText="1"/>
    </xf>
    <xf numFmtId="0" fontId="19" fillId="2" borderId="17" xfId="0" applyFont="1" applyFill="1" applyBorder="1" applyAlignment="1">
      <alignment horizontal="center" vertical="center" wrapText="1"/>
    </xf>
    <xf numFmtId="0" fontId="27" fillId="2" borderId="0" xfId="0" applyFont="1" applyFill="1" applyBorder="1" applyAlignment="1">
      <alignment horizontal="right" vertical="center"/>
    </xf>
    <xf numFmtId="0" fontId="8" fillId="0" borderId="1" xfId="0" applyFont="1" applyFill="1" applyBorder="1" applyAlignment="1" applyProtection="1">
      <alignment horizontal="left" vertical="center"/>
    </xf>
    <xf numFmtId="0" fontId="8" fillId="2" borderId="1" xfId="0" applyFont="1" applyFill="1" applyBorder="1" applyAlignment="1" applyProtection="1">
      <alignment horizontal="left" vertical="center"/>
    </xf>
    <xf numFmtId="0" fontId="23" fillId="0" borderId="7" xfId="0" applyFont="1" applyFill="1" applyBorder="1" applyAlignment="1" applyProtection="1">
      <alignment horizontal="left" vertical="center"/>
    </xf>
    <xf numFmtId="0" fontId="23" fillId="0" borderId="1" xfId="0" applyFont="1" applyFill="1" applyBorder="1" applyAlignment="1" applyProtection="1">
      <alignment horizontal="left" vertical="center"/>
    </xf>
    <xf numFmtId="0" fontId="26" fillId="0" borderId="1" xfId="0" applyFont="1" applyFill="1" applyBorder="1" applyAlignment="1" applyProtection="1">
      <alignment horizontal="left" vertical="center"/>
    </xf>
    <xf numFmtId="0" fontId="8" fillId="3" borderId="1" xfId="0" applyNumberFormat="1" applyFont="1" applyFill="1" applyBorder="1" applyAlignment="1">
      <alignment horizontal="left" vertical="center"/>
    </xf>
    <xf numFmtId="49" fontId="8" fillId="3" borderId="1" xfId="0" applyNumberFormat="1" applyFont="1" applyFill="1" applyBorder="1" applyAlignment="1">
      <alignment horizontal="left" vertical="center"/>
    </xf>
    <xf numFmtId="0" fontId="23" fillId="0" borderId="4" xfId="0" applyFont="1" applyFill="1" applyBorder="1" applyAlignment="1">
      <alignment horizontal="left" vertical="center"/>
    </xf>
    <xf numFmtId="0" fontId="23" fillId="0" borderId="10" xfId="0" applyFont="1" applyFill="1" applyBorder="1" applyAlignment="1">
      <alignment horizontal="left" vertical="center"/>
    </xf>
    <xf numFmtId="0" fontId="23" fillId="0" borderId="13" xfId="0" applyFont="1" applyFill="1" applyBorder="1" applyAlignment="1" applyProtection="1">
      <alignment horizontal="left" vertical="center"/>
    </xf>
    <xf numFmtId="0" fontId="23" fillId="0" borderId="14" xfId="0" applyFont="1" applyFill="1" applyBorder="1" applyAlignment="1" applyProtection="1">
      <alignment horizontal="left" vertical="center"/>
    </xf>
    <xf numFmtId="0" fontId="23" fillId="0" borderId="4" xfId="0" applyFont="1" applyFill="1" applyBorder="1" applyAlignment="1" applyProtection="1">
      <alignment horizontal="left" vertical="center"/>
    </xf>
    <xf numFmtId="0" fontId="23" fillId="0" borderId="15" xfId="0" applyFont="1" applyFill="1" applyBorder="1" applyAlignment="1" applyProtection="1">
      <alignment horizontal="left" vertical="center"/>
    </xf>
    <xf numFmtId="0" fontId="23" fillId="2" borderId="7" xfId="0" applyFont="1" applyFill="1" applyBorder="1" applyAlignment="1" applyProtection="1">
      <alignment horizontal="left" vertical="center"/>
    </xf>
    <xf numFmtId="0" fontId="8" fillId="2" borderId="7" xfId="0" applyFont="1" applyFill="1" applyBorder="1" applyAlignment="1" applyProtection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49" fontId="8" fillId="2" borderId="15" xfId="0" applyNumberFormat="1" applyFont="1" applyFill="1" applyBorder="1" applyAlignment="1">
      <alignment horizontal="left" vertical="center"/>
    </xf>
    <xf numFmtId="49" fontId="8" fillId="2" borderId="10" xfId="0" applyNumberFormat="1" applyFont="1" applyFill="1" applyBorder="1" applyAlignment="1">
      <alignment horizontal="left" vertical="center"/>
    </xf>
    <xf numFmtId="0" fontId="8" fillId="2" borderId="13" xfId="0" applyFont="1" applyFill="1" applyBorder="1" applyAlignment="1" applyProtection="1">
      <alignment horizontal="left" vertical="center"/>
    </xf>
    <xf numFmtId="0" fontId="8" fillId="2" borderId="14" xfId="0" applyFont="1" applyFill="1" applyBorder="1" applyAlignment="1" applyProtection="1">
      <alignment horizontal="left" vertical="center"/>
    </xf>
    <xf numFmtId="0" fontId="8" fillId="2" borderId="4" xfId="0" applyFont="1" applyFill="1" applyBorder="1" applyAlignment="1" applyProtection="1">
      <alignment horizontal="left" vertical="center"/>
    </xf>
    <xf numFmtId="0" fontId="8" fillId="2" borderId="15" xfId="0" applyFont="1" applyFill="1" applyBorder="1" applyAlignment="1" applyProtection="1">
      <alignment horizontal="left" vertical="center"/>
    </xf>
    <xf numFmtId="0" fontId="26" fillId="4" borderId="1" xfId="0" applyFont="1" applyFill="1" applyBorder="1" applyAlignment="1" applyProtection="1">
      <alignment horizontal="left" vertical="center"/>
    </xf>
    <xf numFmtId="0" fontId="23" fillId="4" borderId="7" xfId="0" applyFont="1" applyFill="1" applyBorder="1" applyAlignment="1" applyProtection="1">
      <alignment horizontal="left" vertical="center"/>
    </xf>
    <xf numFmtId="0" fontId="23" fillId="4" borderId="1" xfId="0" applyFont="1" applyFill="1" applyBorder="1" applyAlignment="1" applyProtection="1">
      <alignment horizontal="left" vertical="center"/>
    </xf>
    <xf numFmtId="0" fontId="23" fillId="4" borderId="4" xfId="0" applyFont="1" applyFill="1" applyBorder="1" applyAlignment="1" applyProtection="1">
      <alignment horizontal="left" vertical="center"/>
    </xf>
    <xf numFmtId="0" fontId="23" fillId="4" borderId="15" xfId="0" applyFont="1" applyFill="1" applyBorder="1" applyAlignment="1" applyProtection="1">
      <alignment horizontal="left" vertical="center"/>
    </xf>
    <xf numFmtId="0" fontId="23" fillId="4" borderId="4" xfId="0" applyFont="1" applyFill="1" applyBorder="1" applyAlignment="1">
      <alignment horizontal="left" vertical="center"/>
    </xf>
    <xf numFmtId="0" fontId="23" fillId="4" borderId="10" xfId="0" applyFont="1" applyFill="1" applyBorder="1" applyAlignment="1">
      <alignment horizontal="left" vertical="center"/>
    </xf>
    <xf numFmtId="0" fontId="23" fillId="4" borderId="13" xfId="0" applyFont="1" applyFill="1" applyBorder="1" applyAlignment="1" applyProtection="1">
      <alignment horizontal="left" vertical="center"/>
    </xf>
    <xf numFmtId="0" fontId="23" fillId="4" borderId="14" xfId="0" applyFont="1" applyFill="1" applyBorder="1" applyAlignment="1" applyProtection="1">
      <alignment horizontal="left" vertical="center"/>
    </xf>
    <xf numFmtId="49" fontId="8" fillId="2" borderId="1" xfId="0" applyNumberFormat="1" applyFont="1" applyFill="1" applyBorder="1" applyAlignment="1">
      <alignment horizontal="left" vertical="center"/>
    </xf>
  </cellXfs>
  <cellStyles count="5">
    <cellStyle name="Hyperlink" xfId="1" builtinId="8"/>
    <cellStyle name="Normal" xfId="0" builtinId="0"/>
    <cellStyle name="常规 10" xfId="3" xr:uid="{00000000-0005-0000-0000-000030000000}"/>
    <cellStyle name="常规 2" xfId="4" xr:uid="{00000000-0005-0000-0000-000033000000}"/>
    <cellStyle name="常规 2 2" xfId="2" xr:uid="{00000000-0005-0000-0000-00002C000000}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11</xdr:row>
      <xdr:rowOff>0</xdr:rowOff>
    </xdr:from>
    <xdr:to>
      <xdr:col>20</xdr:col>
      <xdr:colOff>191135</xdr:colOff>
      <xdr:row>11</xdr:row>
      <xdr:rowOff>147320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7640" y="2514600"/>
          <a:ext cx="191135" cy="1473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20</xdr:col>
      <xdr:colOff>0</xdr:colOff>
      <xdr:row>11</xdr:row>
      <xdr:rowOff>0</xdr:rowOff>
    </xdr:from>
    <xdr:to>
      <xdr:col>20</xdr:col>
      <xdr:colOff>191135</xdr:colOff>
      <xdr:row>11</xdr:row>
      <xdr:rowOff>142240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7640" y="25146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20</xdr:col>
      <xdr:colOff>0</xdr:colOff>
      <xdr:row>11</xdr:row>
      <xdr:rowOff>0</xdr:rowOff>
    </xdr:from>
    <xdr:to>
      <xdr:col>20</xdr:col>
      <xdr:colOff>191135</xdr:colOff>
      <xdr:row>11</xdr:row>
      <xdr:rowOff>142240</xdr:rowOff>
    </xdr:to>
    <xdr:pic>
      <xdr:nvPicPr>
        <xdr:cNvPr id="4" name="图片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7640" y="25146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20</xdr:col>
      <xdr:colOff>0</xdr:colOff>
      <xdr:row>11</xdr:row>
      <xdr:rowOff>0</xdr:rowOff>
    </xdr:from>
    <xdr:to>
      <xdr:col>20</xdr:col>
      <xdr:colOff>191135</xdr:colOff>
      <xdr:row>11</xdr:row>
      <xdr:rowOff>142240</xdr:rowOff>
    </xdr:to>
    <xdr:pic>
      <xdr:nvPicPr>
        <xdr:cNvPr id="5" name="图片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7640" y="25146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20</xdr:col>
      <xdr:colOff>0</xdr:colOff>
      <xdr:row>11</xdr:row>
      <xdr:rowOff>0</xdr:rowOff>
    </xdr:from>
    <xdr:to>
      <xdr:col>20</xdr:col>
      <xdr:colOff>191135</xdr:colOff>
      <xdr:row>11</xdr:row>
      <xdr:rowOff>142240</xdr:rowOff>
    </xdr:to>
    <xdr:pic>
      <xdr:nvPicPr>
        <xdr:cNvPr id="6" name="图片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7640" y="25146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147320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57200"/>
          <a:ext cx="191135" cy="1473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142240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142240</xdr:rowOff>
    </xdr:to>
    <xdr:pic>
      <xdr:nvPicPr>
        <xdr:cNvPr id="4" name="图片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142240</xdr:rowOff>
    </xdr:to>
    <xdr:pic>
      <xdr:nvPicPr>
        <xdr:cNvPr id="5" name="图片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142240</xdr:rowOff>
    </xdr:to>
    <xdr:pic>
      <xdr:nvPicPr>
        <xdr:cNvPr id="6" name="图片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2</xdr:row>
      <xdr:rowOff>0</xdr:rowOff>
    </xdr:from>
    <xdr:to>
      <xdr:col>26</xdr:col>
      <xdr:colOff>191135</xdr:colOff>
      <xdr:row>2</xdr:row>
      <xdr:rowOff>147320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83475" y="457200"/>
          <a:ext cx="191135" cy="1473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26</xdr:col>
      <xdr:colOff>0</xdr:colOff>
      <xdr:row>2</xdr:row>
      <xdr:rowOff>0</xdr:rowOff>
    </xdr:from>
    <xdr:to>
      <xdr:col>26</xdr:col>
      <xdr:colOff>191135</xdr:colOff>
      <xdr:row>2</xdr:row>
      <xdr:rowOff>142240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8347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26</xdr:col>
      <xdr:colOff>0</xdr:colOff>
      <xdr:row>2</xdr:row>
      <xdr:rowOff>0</xdr:rowOff>
    </xdr:from>
    <xdr:to>
      <xdr:col>26</xdr:col>
      <xdr:colOff>191135</xdr:colOff>
      <xdr:row>2</xdr:row>
      <xdr:rowOff>142240</xdr:rowOff>
    </xdr:to>
    <xdr:pic>
      <xdr:nvPicPr>
        <xdr:cNvPr id="4" name="图片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8347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26</xdr:col>
      <xdr:colOff>0</xdr:colOff>
      <xdr:row>2</xdr:row>
      <xdr:rowOff>0</xdr:rowOff>
    </xdr:from>
    <xdr:to>
      <xdr:col>26</xdr:col>
      <xdr:colOff>191135</xdr:colOff>
      <xdr:row>2</xdr:row>
      <xdr:rowOff>142240</xdr:rowOff>
    </xdr:to>
    <xdr:pic>
      <xdr:nvPicPr>
        <xdr:cNvPr id="5" name="图片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8347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26</xdr:col>
      <xdr:colOff>0</xdr:colOff>
      <xdr:row>2</xdr:row>
      <xdr:rowOff>0</xdr:rowOff>
    </xdr:from>
    <xdr:to>
      <xdr:col>26</xdr:col>
      <xdr:colOff>191135</xdr:colOff>
      <xdr:row>2</xdr:row>
      <xdr:rowOff>142240</xdr:rowOff>
    </xdr:to>
    <xdr:pic>
      <xdr:nvPicPr>
        <xdr:cNvPr id="6" name="图片 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8347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147320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6325" y="457200"/>
          <a:ext cx="191135" cy="1473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142240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63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142240</xdr:rowOff>
    </xdr:to>
    <xdr:pic>
      <xdr:nvPicPr>
        <xdr:cNvPr id="4" name="图片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63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142240</xdr:rowOff>
    </xdr:to>
    <xdr:pic>
      <xdr:nvPicPr>
        <xdr:cNvPr id="5" name="图片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63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21</xdr:col>
      <xdr:colOff>191135</xdr:colOff>
      <xdr:row>2</xdr:row>
      <xdr:rowOff>142240</xdr:rowOff>
    </xdr:to>
    <xdr:pic>
      <xdr:nvPicPr>
        <xdr:cNvPr id="6" name="图片 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63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147320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0525" y="457200"/>
          <a:ext cx="191135" cy="1473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142240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05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142240</xdr:rowOff>
    </xdr:to>
    <xdr:pic>
      <xdr:nvPicPr>
        <xdr:cNvPr id="4" name="图片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05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142240</xdr:rowOff>
    </xdr:to>
    <xdr:pic>
      <xdr:nvPicPr>
        <xdr:cNvPr id="5" name="图片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05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142240</xdr:rowOff>
    </xdr:to>
    <xdr:pic>
      <xdr:nvPicPr>
        <xdr:cNvPr id="6" name="图片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05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147320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59625" y="457200"/>
          <a:ext cx="191135" cy="1473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142240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596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142240</xdr:rowOff>
    </xdr:to>
    <xdr:pic>
      <xdr:nvPicPr>
        <xdr:cNvPr id="4" name="图片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596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142240</xdr:rowOff>
    </xdr:to>
    <xdr:pic>
      <xdr:nvPicPr>
        <xdr:cNvPr id="5" name="图片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596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23</xdr:col>
      <xdr:colOff>0</xdr:colOff>
      <xdr:row>2</xdr:row>
      <xdr:rowOff>0</xdr:rowOff>
    </xdr:from>
    <xdr:to>
      <xdr:col>23</xdr:col>
      <xdr:colOff>191135</xdr:colOff>
      <xdr:row>2</xdr:row>
      <xdr:rowOff>142240</xdr:rowOff>
    </xdr:to>
    <xdr:pic>
      <xdr:nvPicPr>
        <xdr:cNvPr id="6" name="图片 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59625" y="457200"/>
          <a:ext cx="191135" cy="14224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676275</xdr:colOff>
      <xdr:row>1</xdr:row>
      <xdr:rowOff>0</xdr:rowOff>
    </xdr:from>
    <xdr:to>
      <xdr:col>12</xdr:col>
      <xdr:colOff>238125</xdr:colOff>
      <xdr:row>5</xdr:row>
      <xdr:rowOff>161925</xdr:rowOff>
    </xdr:to>
    <xdr:sp macro="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62675" y="171450"/>
          <a:ext cx="2305050" cy="847725"/>
        </a:xfrm>
        <a:prstGeom prst="round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zh-CN" altLang="en-US" sz="1100">
              <a:solidFill>
                <a:sysClr val="windowText" lastClr="000000"/>
              </a:solidFill>
            </a:rPr>
            <a:t>客人原始资料</a:t>
          </a:r>
        </a:p>
      </xdr:txBody>
    </xdr:sp>
    <xdr:clientData/>
  </xdr:twoCellAnchor>
  <xdr:twoCellAnchor>
    <xdr:from>
      <xdr:col>9</xdr:col>
      <xdr:colOff>28575</xdr:colOff>
      <xdr:row>8</xdr:row>
      <xdr:rowOff>133350</xdr:rowOff>
    </xdr:from>
    <xdr:to>
      <xdr:col>12</xdr:col>
      <xdr:colOff>276225</xdr:colOff>
      <xdr:row>13</xdr:row>
      <xdr:rowOff>123825</xdr:rowOff>
    </xdr:to>
    <xdr:sp macro="" textlink="">
      <xdr:nvSpPr>
        <xdr:cNvPr id="11" name="圆角矩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6200775" y="1504950"/>
          <a:ext cx="2305050" cy="847725"/>
        </a:xfrm>
        <a:prstGeom prst="round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1100">
              <a:solidFill>
                <a:sysClr val="windowText" lastClr="000000"/>
              </a:solidFill>
            </a:rPr>
            <a:t>将所有产品重量按照数量*重量+0、1.0/2.0 （具体是0/1.0/2视与包税部分重量而定）</a:t>
          </a:r>
          <a:r>
            <a:rPr lang="zh-CN" altLang="en-US" sz="1100">
              <a:solidFill>
                <a:sysClr val="windowText" lastClr="000000"/>
              </a:solidFill>
            </a:rPr>
            <a:t>参考</a:t>
          </a:r>
          <a:r>
            <a:rPr lang="en-US" altLang="zh-CN" sz="1100">
              <a:solidFill>
                <a:sysClr val="windowText" lastClr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247650</xdr:colOff>
      <xdr:row>27</xdr:row>
      <xdr:rowOff>85725</xdr:rowOff>
    </xdr:from>
    <xdr:to>
      <xdr:col>7</xdr:col>
      <xdr:colOff>495300</xdr:colOff>
      <xdr:row>32</xdr:row>
      <xdr:rowOff>76200</xdr:rowOff>
    </xdr:to>
    <xdr:sp macro="" textlink="">
      <xdr:nvSpPr>
        <xdr:cNvPr id="14" name="圆角矩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2990850" y="4714875"/>
          <a:ext cx="2305050" cy="8477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1100">
              <a:solidFill>
                <a:sysClr val="windowText" lastClr="000000"/>
              </a:solidFill>
            </a:rPr>
            <a:t>选择42/61/62以及高附加值产品且数量少的产品</a:t>
          </a:r>
          <a:r>
            <a:rPr lang="zh-CN" altLang="en-US" sz="1100">
              <a:solidFill>
                <a:sysClr val="windowText" lastClr="000000"/>
              </a:solidFill>
            </a:rPr>
            <a:t>，对产品重量进行减少 参考</a:t>
          </a:r>
          <a:r>
            <a:rPr lang="en-US" altLang="zh-CN" sz="1100">
              <a:solidFill>
                <a:sysClr val="windowText" lastClr="000000"/>
              </a:solidFill>
            </a:rPr>
            <a:t>D </a:t>
          </a:r>
        </a:p>
      </xdr:txBody>
    </xdr:sp>
    <xdr:clientData/>
  </xdr:twoCellAnchor>
  <xdr:twoCellAnchor>
    <xdr:from>
      <xdr:col>9</xdr:col>
      <xdr:colOff>57150</xdr:colOff>
      <xdr:row>16</xdr:row>
      <xdr:rowOff>133350</xdr:rowOff>
    </xdr:from>
    <xdr:to>
      <xdr:col>12</xdr:col>
      <xdr:colOff>304800</xdr:colOff>
      <xdr:row>21</xdr:row>
      <xdr:rowOff>123825</xdr:rowOff>
    </xdr:to>
    <xdr:sp macro="" textlink="">
      <xdr:nvSpPr>
        <xdr:cNvPr id="17" name="圆角矩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6229350" y="2876550"/>
          <a:ext cx="2305050" cy="8477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ysClr val="windowText" lastClr="000000"/>
              </a:solidFill>
            </a:rPr>
            <a:t>将重量调整至于包税重量一致。参考</a:t>
          </a:r>
          <a:r>
            <a:rPr lang="en-US" altLang="zh-CN" sz="1100">
              <a:solidFill>
                <a:sysClr val="windowText" lastClr="000000"/>
              </a:solidFill>
            </a:rPr>
            <a:t>C</a:t>
          </a:r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266700</xdr:colOff>
      <xdr:row>37</xdr:row>
      <xdr:rowOff>0</xdr:rowOff>
    </xdr:from>
    <xdr:to>
      <xdr:col>7</xdr:col>
      <xdr:colOff>514350</xdr:colOff>
      <xdr:row>41</xdr:row>
      <xdr:rowOff>161925</xdr:rowOff>
    </xdr:to>
    <xdr:sp macro="" textlink="">
      <xdr:nvSpPr>
        <xdr:cNvPr id="18" name="圆角矩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009900" y="6343650"/>
          <a:ext cx="2305050" cy="8477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ysClr val="windowText" lastClr="000000"/>
              </a:solidFill>
            </a:rPr>
            <a:t>选择除</a:t>
          </a:r>
          <a:r>
            <a:rPr lang="en-US" altLang="zh-CN">
              <a:solidFill>
                <a:sysClr val="windowText" lastClr="000000"/>
              </a:solidFill>
              <a:sym typeface="+mn-ea"/>
            </a:rPr>
            <a:t>42/61/62以及高附加值产品且数量少的产品</a:t>
          </a:r>
          <a:r>
            <a:rPr lang="zh-CN" altLang="en-US">
              <a:solidFill>
                <a:sysClr val="windowText" lastClr="000000"/>
              </a:solidFill>
              <a:sym typeface="+mn-ea"/>
            </a:rPr>
            <a:t>，对货物重量进行微添加，参考</a:t>
          </a:r>
          <a:r>
            <a:rPr lang="en-US" altLang="zh-CN">
              <a:solidFill>
                <a:sysClr val="windowText" lastClr="000000"/>
              </a:solidFill>
              <a:sym typeface="+mn-ea"/>
            </a:rPr>
            <a:t>D </a:t>
          </a:r>
          <a:endParaRPr lang="en-US" altLang="zh-C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209550</xdr:colOff>
      <xdr:row>36</xdr:row>
      <xdr:rowOff>85725</xdr:rowOff>
    </xdr:from>
    <xdr:to>
      <xdr:col>21</xdr:col>
      <xdr:colOff>457200</xdr:colOff>
      <xdr:row>41</xdr:row>
      <xdr:rowOff>76200</xdr:rowOff>
    </xdr:to>
    <xdr:sp macro="" textlink="">
      <xdr:nvSpPr>
        <xdr:cNvPr id="19" name="圆角矩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12553950" y="6257925"/>
          <a:ext cx="2305050" cy="8477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ysClr val="windowText" lastClr="000000"/>
              </a:solidFill>
            </a:rPr>
            <a:t>仍有差距部分选择9503/92/8539/9405类产品减少</a:t>
          </a:r>
          <a:endParaRPr lang="en-US" altLang="zh-C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247650</xdr:colOff>
      <xdr:row>26</xdr:row>
      <xdr:rowOff>133350</xdr:rowOff>
    </xdr:from>
    <xdr:to>
      <xdr:col>17</xdr:col>
      <xdr:colOff>495300</xdr:colOff>
      <xdr:row>31</xdr:row>
      <xdr:rowOff>123825</xdr:rowOff>
    </xdr:to>
    <xdr:sp macro="" textlink="">
      <xdr:nvSpPr>
        <xdr:cNvPr id="20" name="圆角矩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9848850" y="4591050"/>
          <a:ext cx="2305050" cy="8477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1100">
              <a:solidFill>
                <a:sysClr val="windowText" lastClr="000000"/>
              </a:solidFill>
            </a:rPr>
            <a:t>选择42/61/62以及高附加值产品且数量少的产品</a:t>
          </a:r>
          <a:r>
            <a:rPr lang="zh-CN" altLang="en-US" sz="1100">
              <a:solidFill>
                <a:sysClr val="windowText" lastClr="000000"/>
              </a:solidFill>
            </a:rPr>
            <a:t>，对产品重量进行减少 参考</a:t>
          </a:r>
          <a:r>
            <a:rPr lang="en-US" altLang="zh-CN" sz="1100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457200</xdr:colOff>
      <xdr:row>36</xdr:row>
      <xdr:rowOff>104775</xdr:rowOff>
    </xdr:from>
    <xdr:to>
      <xdr:col>14</xdr:col>
      <xdr:colOff>19050</xdr:colOff>
      <xdr:row>41</xdr:row>
      <xdr:rowOff>95250</xdr:rowOff>
    </xdr:to>
    <xdr:sp macro="" textlink="">
      <xdr:nvSpPr>
        <xdr:cNvPr id="21" name="圆角矩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7315200" y="6276975"/>
          <a:ext cx="2305050" cy="8477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>
              <a:solidFill>
                <a:sysClr val="windowText" lastClr="000000"/>
              </a:solidFill>
              <a:sym typeface="+mn-ea"/>
            </a:rPr>
            <a:t>选择除</a:t>
          </a:r>
          <a:r>
            <a:rPr lang="en-US" altLang="zh-CN">
              <a:solidFill>
                <a:sysClr val="windowText" lastClr="000000"/>
              </a:solidFill>
              <a:sym typeface="+mn-ea"/>
            </a:rPr>
            <a:t>42/61/62以及高附加值产品且数量少的产品</a:t>
          </a:r>
          <a:r>
            <a:rPr lang="zh-CN" altLang="en-US">
              <a:solidFill>
                <a:sysClr val="windowText" lastClr="000000"/>
              </a:solidFill>
              <a:sym typeface="+mn-ea"/>
            </a:rPr>
            <a:t>，对货物重量进行微添加，参考</a:t>
          </a:r>
          <a:r>
            <a:rPr lang="en-US" altLang="zh-CN">
              <a:solidFill>
                <a:sysClr val="windowText" lastClr="000000"/>
              </a:solidFill>
              <a:sym typeface="+mn-ea"/>
            </a:rPr>
            <a:t>D </a:t>
          </a:r>
          <a:endParaRPr lang="en-US" altLang="zh-C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457200</xdr:colOff>
      <xdr:row>5</xdr:row>
      <xdr:rowOff>161925</xdr:rowOff>
    </xdr:from>
    <xdr:to>
      <xdr:col>10</xdr:col>
      <xdr:colOff>466725</xdr:colOff>
      <xdr:row>8</xdr:row>
      <xdr:rowOff>19050</xdr:rowOff>
    </xdr:to>
    <xdr:cxnSp macro="">
      <xdr:nvCxnSpPr>
        <xdr:cNvPr id="22" name="直接箭头连接符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>
          <a:stCxn id="2" idx="2"/>
        </xdr:cNvCxnSpPr>
      </xdr:nvCxnSpPr>
      <xdr:spPr>
        <a:xfrm>
          <a:off x="7315200" y="1019175"/>
          <a:ext cx="9525" cy="371475"/>
        </a:xfrm>
        <a:prstGeom prst="straightConnector1">
          <a:avLst/>
        </a:prstGeom>
        <a:ln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476250</xdr:colOff>
      <xdr:row>14</xdr:row>
      <xdr:rowOff>47625</xdr:rowOff>
    </xdr:from>
    <xdr:to>
      <xdr:col>10</xdr:col>
      <xdr:colOff>485775</xdr:colOff>
      <xdr:row>16</xdr:row>
      <xdr:rowOff>76200</xdr:rowOff>
    </xdr:to>
    <xdr:cxnSp macro="">
      <xdr:nvCxnSpPr>
        <xdr:cNvPr id="23" name="直接箭头连接符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>
          <a:off x="7334250" y="2447925"/>
          <a:ext cx="9525" cy="371475"/>
        </a:xfrm>
        <a:prstGeom prst="straightConnector1">
          <a:avLst/>
        </a:prstGeom>
        <a:ln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32</xdr:row>
      <xdr:rowOff>76200</xdr:rowOff>
    </xdr:from>
    <xdr:to>
      <xdr:col>5</xdr:col>
      <xdr:colOff>609600</xdr:colOff>
      <xdr:row>36</xdr:row>
      <xdr:rowOff>123825</xdr:rowOff>
    </xdr:to>
    <xdr:cxnSp macro="">
      <xdr:nvCxnSpPr>
        <xdr:cNvPr id="24" name="直接箭头连接符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/>
      </xdr:nvCxnSpPr>
      <xdr:spPr>
        <a:xfrm flipH="1">
          <a:off x="4029075" y="5562600"/>
          <a:ext cx="9525" cy="733425"/>
        </a:xfrm>
        <a:prstGeom prst="straightConnector1">
          <a:avLst/>
        </a:prstGeom>
        <a:ln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20</xdr:row>
      <xdr:rowOff>123825</xdr:rowOff>
    </xdr:from>
    <xdr:to>
      <xdr:col>5</xdr:col>
      <xdr:colOff>609600</xdr:colOff>
      <xdr:row>26</xdr:row>
      <xdr:rowOff>152400</xdr:rowOff>
    </xdr:to>
    <xdr:cxnSp macro="">
      <xdr:nvCxnSpPr>
        <xdr:cNvPr id="27" name="直接箭头连接符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CxnSpPr/>
      </xdr:nvCxnSpPr>
      <xdr:spPr>
        <a:xfrm>
          <a:off x="4029075" y="3552825"/>
          <a:ext cx="9525" cy="1057275"/>
        </a:xfrm>
        <a:prstGeom prst="straightConnector1">
          <a:avLst/>
        </a:prstGeom>
        <a:ln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561975</xdr:colOff>
      <xdr:row>20</xdr:row>
      <xdr:rowOff>19050</xdr:rowOff>
    </xdr:from>
    <xdr:to>
      <xdr:col>15</xdr:col>
      <xdr:colOff>600075</xdr:colOff>
      <xdr:row>26</xdr:row>
      <xdr:rowOff>76200</xdr:rowOff>
    </xdr:to>
    <xdr:cxnSp macro="">
      <xdr:nvCxnSpPr>
        <xdr:cNvPr id="28" name="直接箭头连接符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CxnSpPr/>
      </xdr:nvCxnSpPr>
      <xdr:spPr>
        <a:xfrm>
          <a:off x="10848975" y="3448050"/>
          <a:ext cx="38100" cy="1085850"/>
        </a:xfrm>
        <a:prstGeom prst="straightConnector1">
          <a:avLst/>
        </a:prstGeom>
        <a:ln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85725</xdr:colOff>
      <xdr:row>29</xdr:row>
      <xdr:rowOff>19050</xdr:rowOff>
    </xdr:from>
    <xdr:to>
      <xdr:col>12</xdr:col>
      <xdr:colOff>95250</xdr:colOff>
      <xdr:row>36</xdr:row>
      <xdr:rowOff>28575</xdr:rowOff>
    </xdr:to>
    <xdr:cxnSp macro="">
      <xdr:nvCxnSpPr>
        <xdr:cNvPr id="29" name="直接箭头连接符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CxnSpPr/>
      </xdr:nvCxnSpPr>
      <xdr:spPr>
        <a:xfrm>
          <a:off x="8315325" y="4991100"/>
          <a:ext cx="9525" cy="1209675"/>
        </a:xfrm>
        <a:prstGeom prst="straightConnector1">
          <a:avLst/>
        </a:prstGeom>
        <a:ln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590550</xdr:colOff>
      <xdr:row>29</xdr:row>
      <xdr:rowOff>9525</xdr:rowOff>
    </xdr:from>
    <xdr:to>
      <xdr:col>19</xdr:col>
      <xdr:colOff>609600</xdr:colOff>
      <xdr:row>36</xdr:row>
      <xdr:rowOff>28575</xdr:rowOff>
    </xdr:to>
    <xdr:cxnSp macro="">
      <xdr:nvCxnSpPr>
        <xdr:cNvPr id="30" name="直接箭头连接符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CxnSpPr/>
      </xdr:nvCxnSpPr>
      <xdr:spPr>
        <a:xfrm>
          <a:off x="13620750" y="4981575"/>
          <a:ext cx="19050" cy="1219200"/>
        </a:xfrm>
        <a:prstGeom prst="straightConnector1">
          <a:avLst/>
        </a:prstGeom>
        <a:ln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571500</xdr:colOff>
      <xdr:row>20</xdr:row>
      <xdr:rowOff>85725</xdr:rowOff>
    </xdr:from>
    <xdr:to>
      <xdr:col>9</xdr:col>
      <xdr:colOff>66675</xdr:colOff>
      <xdr:row>20</xdr:row>
      <xdr:rowOff>85725</xdr:rowOff>
    </xdr:to>
    <xdr:cxnSp macro="">
      <xdr:nvCxnSpPr>
        <xdr:cNvPr id="31" name="直接连接符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CxnSpPr/>
      </xdr:nvCxnSpPr>
      <xdr:spPr>
        <a:xfrm>
          <a:off x="4000500" y="3514725"/>
          <a:ext cx="2238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371475</xdr:colOff>
      <xdr:row>20</xdr:row>
      <xdr:rowOff>9525</xdr:rowOff>
    </xdr:from>
    <xdr:to>
      <xdr:col>15</xdr:col>
      <xdr:colOff>552450</xdr:colOff>
      <xdr:row>20</xdr:row>
      <xdr:rowOff>9525</xdr:rowOff>
    </xdr:to>
    <xdr:cxnSp macro="">
      <xdr:nvCxnSpPr>
        <xdr:cNvPr id="32" name="直接连接符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CxnSpPr/>
      </xdr:nvCxnSpPr>
      <xdr:spPr>
        <a:xfrm>
          <a:off x="8601075" y="3438525"/>
          <a:ext cx="2238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29</xdr:row>
      <xdr:rowOff>0</xdr:rowOff>
    </xdr:from>
    <xdr:to>
      <xdr:col>14</xdr:col>
      <xdr:colOff>152400</xdr:colOff>
      <xdr:row>29</xdr:row>
      <xdr:rowOff>0</xdr:rowOff>
    </xdr:to>
    <xdr:cxnSp macro="">
      <xdr:nvCxnSpPr>
        <xdr:cNvPr id="33" name="直接连接符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CxnSpPr/>
      </xdr:nvCxnSpPr>
      <xdr:spPr>
        <a:xfrm>
          <a:off x="8334375" y="4972050"/>
          <a:ext cx="14192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533400</xdr:colOff>
      <xdr:row>29</xdr:row>
      <xdr:rowOff>38100</xdr:rowOff>
    </xdr:from>
    <xdr:to>
      <xdr:col>19</xdr:col>
      <xdr:colOff>581025</xdr:colOff>
      <xdr:row>29</xdr:row>
      <xdr:rowOff>38100</xdr:rowOff>
    </xdr:to>
    <xdr:cxnSp macro="">
      <xdr:nvCxnSpPr>
        <xdr:cNvPr id="34" name="直接连接符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>
          <a:off x="12192000" y="5010150"/>
          <a:ext cx="14192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209550</xdr:colOff>
      <xdr:row>18</xdr:row>
      <xdr:rowOff>38100</xdr:rowOff>
    </xdr:from>
    <xdr:to>
      <xdr:col>8</xdr:col>
      <xdr:colOff>66675</xdr:colOff>
      <xdr:row>20</xdr:row>
      <xdr:rowOff>85725</xdr:rowOff>
    </xdr:to>
    <xdr:sp macro="" textlink="">
      <xdr:nvSpPr>
        <xdr:cNvPr id="35" name="圆角矩形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2952750" y="3124200"/>
          <a:ext cx="2600325" cy="390525"/>
        </a:xfrm>
        <a:prstGeom prst="round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没有客人税号可以转移重量</a:t>
          </a:r>
        </a:p>
      </xdr:txBody>
    </xdr:sp>
    <xdr:clientData/>
  </xdr:twoCellAnchor>
  <xdr:twoCellAnchor>
    <xdr:from>
      <xdr:col>13</xdr:col>
      <xdr:colOff>200025</xdr:colOff>
      <xdr:row>17</xdr:row>
      <xdr:rowOff>47625</xdr:rowOff>
    </xdr:from>
    <xdr:to>
      <xdr:col>17</xdr:col>
      <xdr:colOff>57150</xdr:colOff>
      <xdr:row>19</xdr:row>
      <xdr:rowOff>95250</xdr:rowOff>
    </xdr:to>
    <xdr:sp macro="" textlink="">
      <xdr:nvSpPr>
        <xdr:cNvPr id="36" name="圆角矩形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9115425" y="2962275"/>
          <a:ext cx="2600325" cy="390525"/>
        </a:xfrm>
        <a:prstGeom prst="round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ysClr val="windowText" lastClr="000000"/>
              </a:solidFill>
            </a:rPr>
            <a:t>有客人税号可以转移重量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3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8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3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7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2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7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6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1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5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5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0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9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4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9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4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mazon.co.uk/dp/B074N1RL61" TargetMode="External"/><Relationship Id="rId21" Type="http://schemas.openxmlformats.org/officeDocument/2006/relationships/hyperlink" Target="https://www.amazon.de/dp/B076MP45KL" TargetMode="External"/><Relationship Id="rId42" Type="http://schemas.openxmlformats.org/officeDocument/2006/relationships/hyperlink" Target="https://www.amazon.es/dp/B07KG72Z3Q" TargetMode="External"/><Relationship Id="rId47" Type="http://schemas.openxmlformats.org/officeDocument/2006/relationships/hyperlink" Target="https://www.amazon.com/Hacloser-Electric-Clippers-Manicure-Scissors/dp/B078MHB3G3/ref=sr_1_8_a_it?ie=UTF8&amp;qid=1544433667&amp;sr=8-8&amp;keywords=Electric+baby+nail+scissors+nail+polisher" TargetMode="External"/><Relationship Id="rId63" Type="http://schemas.openxmlformats.org/officeDocument/2006/relationships/hyperlink" Target="https://www.amazon.es/dp/B07HB4RX6C" TargetMode="External"/><Relationship Id="rId68" Type="http://schemas.openxmlformats.org/officeDocument/2006/relationships/hyperlink" Target="https://www.amazon.it/dp/B07DBWK9LT" TargetMode="External"/><Relationship Id="rId16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1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4" Type="http://schemas.openxmlformats.org/officeDocument/2006/relationships/hyperlink" Target="https://www.amazon.es/protector-slipcover-el%C3%A1stico-plegable-cubierta/dp/B076KRXN27/ref=sr_1_2?s=kitchen&amp;ie=UTF8&amp;qid=1525778100&amp;sr=1-2&amp;keywords=Cubierta+del+sof%C3%A1+el%C3%A1stico" TargetMode="External"/><Relationship Id="rId32" Type="http://schemas.openxmlformats.org/officeDocument/2006/relationships/hyperlink" Target="https://www.amazon.de/gp/slredirect/picassoRedirect.html/ref=sspa_dk_detail_3?ie=UTF8&amp;adId=A10423032WO6ZUL9WOY66&amp;qualifier=1525491465&amp;id=7321720462760423&amp;widgetName=sp_detail&amp;url=%2Fdp%2FB074GT3DCK%2F" TargetMode="External"/><Relationship Id="rId37" Type="http://schemas.openxmlformats.org/officeDocument/2006/relationships/hyperlink" Target="https://www.amazon.com/Retainer-Plastic-Fasteners-YYINGG-Chrysler/dp/B07CWVP2N7/ref=sr_1_2?ie=UTF8&amp;qid=1544433428&amp;sr=8-2&amp;keywords=Car+lining+buckle" TargetMode="External"/><Relationship Id="rId40" Type="http://schemas.openxmlformats.org/officeDocument/2006/relationships/hyperlink" Target="https://www.amazon.it/dp/B078RLT6KY/ref=sspa_dk_detail_1?psc=1" TargetMode="External"/><Relationship Id="rId45" Type="http://schemas.openxmlformats.org/officeDocument/2006/relationships/hyperlink" Target="https://www.amazon.it/plastica-trasparente-alimentari-Contenitori-dimensione/dp/B06X186CRX/ref=pd_sbs_201_3?_encoding=UTF8&amp;pd_rd_i=B06X186CRX&amp;pd_rd_r=77d14396-5f2d-11e8-a6b6-e9dc1ff8f7d6&amp;pd_rd_w=yo8JH" TargetMode="External"/><Relationship Id="rId53" Type="http://schemas.openxmlformats.org/officeDocument/2006/relationships/hyperlink" Target="https://es.aliexpress.com/store/product/Stainless-Steel-Wall-Hanger-Retractable-Indoor-Clothes-Hanger-Magic-Foldable-Drying-Rack-Waterproof-Clothes-Towel-Rack/1504995_32706428681.html?spm=2114.12010615.0.0.450737453uH8W5" TargetMode="External"/><Relationship Id="rId58" Type="http://schemas.openxmlformats.org/officeDocument/2006/relationships/hyperlink" Target="https://www.amazon.it/Supporto-Braccio-Bambino-dellAvambraccio-Immobilizzatore/dp/B077NWPH8P/ref=pd_sbs_121_9?_encoding=UTF8&amp;psc=1&amp;refRID=M58G7JN0RBSFHJ091Q9D" TargetMode="External"/><Relationship Id="rId66" Type="http://schemas.openxmlformats.org/officeDocument/2006/relationships/hyperlink" Target="https://www.amazon.it/dp/B07F7ZXM8M" TargetMode="External"/><Relationship Id="rId74" Type="http://schemas.openxmlformats.org/officeDocument/2006/relationships/hyperlink" Target="https://www.amazon.co.uk/Eyelash-Crystal-Spoolie-Cosmetic-Applicator/dp/B07G9C1WPN/ref=sr_1_13_a_it?ie=UTF8&amp;qid=1544623837&amp;sr=8-13&amp;keywords=Eyelash+brush" TargetMode="External"/><Relationship Id="rId79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5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1" Type="http://schemas.openxmlformats.org/officeDocument/2006/relationships/hyperlink" Target="https://www.amazon.es/dp/B07F7ZS9W8" TargetMode="External"/><Relationship Id="rId19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14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2" Type="http://schemas.openxmlformats.org/officeDocument/2006/relationships/hyperlink" Target="https://www.amazon.co.uk/Professional-Kitchen-Blowtorch-Cooking-Welding/dp/B075688X7X/ref=zg_bs_11713221_23?_encoding=UTF8&amp;refRID=YSNHSZ6Z78MKAGYXC94J" TargetMode="External"/><Relationship Id="rId27" Type="http://schemas.openxmlformats.org/officeDocument/2006/relationships/hyperlink" Target="https://www.amazon.co.uk/HUAANIUE-Sparkles-Camisole-Gymnastics-Costumes/dp/B07J9PXVHS/ref=lp_14764999031_1_11?srs=14764999031&amp;ie=UTF8&amp;qid=1543568234&amp;sr=8-11" TargetMode="External"/><Relationship Id="rId30" Type="http://schemas.openxmlformats.org/officeDocument/2006/relationships/hyperlink" Target="https://www.amazon.de/dp/B07CHJ239X" TargetMode="External"/><Relationship Id="rId35" Type="http://schemas.openxmlformats.org/officeDocument/2006/relationships/hyperlink" Target="https://www.amazon.com/Taekwondo-Durable-Target-Kickboxing-Training-Red/dp/B06Y2WR1LK/ref=sr_1_fkmr0_1?s=sporting-goods&amp;ie=UTF8&amp;qid=1543916289&amp;sr=1-1-fkmr0&amp;keywords=Taekwondo+curved+double-leaf+target" TargetMode="External"/><Relationship Id="rId43" Type="http://schemas.openxmlformats.org/officeDocument/2006/relationships/hyperlink" Target="https://www.amazon.es/dp/B07H5D31CV" TargetMode="External"/><Relationship Id="rId48" Type="http://schemas.openxmlformats.org/officeDocument/2006/relationships/hyperlink" Target="https://www.amazon.de/dp/B077GQBJG4/ref=sspa_dk_detail_4?psc=1" TargetMode="External"/><Relationship Id="rId56" Type="http://schemas.openxmlformats.org/officeDocument/2006/relationships/hyperlink" Target="https://www.amazon.it/Antiscivolo-Regolabile-Gomitiera-Pallacanestro-Riabilitazione/dp/B071FZW5CG/ref=pd_cp_200_1?_encoding=UTF8&amp;psc=1&amp;refRID=TJSYKHHVZ1KJF8CCJJG4" TargetMode="External"/><Relationship Id="rId64" Type="http://schemas.openxmlformats.org/officeDocument/2006/relationships/hyperlink" Target="https://www.amazon.es/dp/B07K8MG51W" TargetMode="External"/><Relationship Id="rId69" Type="http://schemas.openxmlformats.org/officeDocument/2006/relationships/hyperlink" Target="https://www.amazon.co.uk/KKmoon-WQE9112418240704NL-Speed-Insert-Replacement/dp/B01LVTWO97/ref=pd_sbs_263_2?_encoding=UTF8&amp;pd_rd_i=B01LVTWO97&amp;pd_rd_r=9adbef92-e65a-11e8-ac8a-91802bc767b5&amp;pd_rd_w=k3YXm&amp;" TargetMode="External"/><Relationship Id="rId77" Type="http://schemas.openxmlformats.org/officeDocument/2006/relationships/hyperlink" Target="https://www.amazon.fr/ZJchao-%C3%A9lastique-tactique-pistolet-munitions/dp/B01FM09IHS/ref=pd_sim_200_1?_encoding=UTF8&amp;psc=1&amp;refRID=55Q4EKYSH04GHJTAN64G" TargetMode="External"/><Relationship Id="rId8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51" Type="http://schemas.openxmlformats.org/officeDocument/2006/relationships/hyperlink" Target="https://www.amazon.com/Extractor-Tool-TIMLand-Professional-Blackheads-Double-ended/dp/B07FNSD8NG/ref=sr_1_5?ie=UTF8&amp;qid=1544433654&amp;sr=8-5&amp;keywords=Stainless+steel+acne+needle+set+acne+pick+acne+needle+acne+needle+7+sets" TargetMode="External"/><Relationship Id="rId72" Type="http://schemas.openxmlformats.org/officeDocument/2006/relationships/hyperlink" Target="https://www.amazon.de/dp/B01N6A8MBH" TargetMode="External"/><Relationship Id="rId80" Type="http://schemas.openxmlformats.org/officeDocument/2006/relationships/drawing" Target="../drawings/drawing2.xml"/><Relationship Id="rId3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2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7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5" Type="http://schemas.openxmlformats.org/officeDocument/2006/relationships/hyperlink" Target="https://www.amazon.it/WINOMO-Copridivano-Copertine-Elasticit%C3%A0-Protezione/dp/B075J9BM67/ref=pd_sbs_86_1?_encoding=UTF8&amp;psc=1&amp;refRID=53BJPGS1NB6266WPXFG7" TargetMode="External"/><Relationship Id="rId33" Type="http://schemas.openxmlformats.org/officeDocument/2006/relationships/hyperlink" Target="https://www.amazon.com/Camouflage-Tactical-Protective-Seamless-N-strike/dp/B01M5D1BIO/ref=sr_1_2?ie=UTF8&amp;qid=1544433617&amp;sr=8-2&amp;keywords=Camouflage+tactical+vest+soft+bullet+tactical+equipment+set" TargetMode="External"/><Relationship Id="rId38" Type="http://schemas.openxmlformats.org/officeDocument/2006/relationships/hyperlink" Target="https://www.amazon.fr/dp/B01N5QCX4U/ref=sspa_dk_detail_0?psc=1" TargetMode="External"/><Relationship Id="rId46" Type="http://schemas.openxmlformats.org/officeDocument/2006/relationships/hyperlink" Target="https://www.ebay.com/itm/Multi-function-Kitchen-Storage-Rack-Cupboard-Hanging-Hook-Hanger-Sundries-Holder-/202254071245?oid=252810675055" TargetMode="External"/><Relationship Id="rId59" Type="http://schemas.openxmlformats.org/officeDocument/2006/relationships/hyperlink" Target="https://www.amazon.es/Montar-Prueba-Viento-Caliente-m%C3%A1scara/dp/B07KSV7RLB/ref=sr_1_7?s=electronics&amp;ie=UTF8&amp;qid=1544150815&amp;sr=1-7&amp;keywords=Outdoor+riding+mask" TargetMode="External"/><Relationship Id="rId67" Type="http://schemas.openxmlformats.org/officeDocument/2006/relationships/hyperlink" Target="https://www.amazon.es/gp/product/B07BHN83BW" TargetMode="External"/><Relationship Id="rId20" Type="http://schemas.openxmlformats.org/officeDocument/2006/relationships/hyperlink" Target="https://www.amazon.co.uk/dp/B079HN3F1D" TargetMode="External"/><Relationship Id="rId41" Type="http://schemas.openxmlformats.org/officeDocument/2006/relationships/hyperlink" Target="https://www.amazon.es/dp/B07K3WP6V9" TargetMode="External"/><Relationship Id="rId54" Type="http://schemas.openxmlformats.org/officeDocument/2006/relationships/hyperlink" Target="https://www.amazon.de/Docht-%C3%96llampe-Ollampe-Lampendocht-36PC/dp/B071J5FLD6/ref=sr_1_fkmr2_2?ie=UTF8&amp;qid=1525487128&amp;sr=8-2-fkmr2&amp;keywords=Hitzebest%C3%A4ndige+%C3%96llampe+Docht" TargetMode="External"/><Relationship Id="rId62" Type="http://schemas.openxmlformats.org/officeDocument/2006/relationships/hyperlink" Target="https://www.amazon.es/dp/B07JFH9HZH" TargetMode="External"/><Relationship Id="rId70" Type="http://schemas.openxmlformats.org/officeDocument/2006/relationships/hyperlink" Target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TargetMode="External"/><Relationship Id="rId75" Type="http://schemas.openxmlformats.org/officeDocument/2006/relationships/hyperlink" Target="https://www.amazon.co.uk/Handled-Shoehorn-Stainless-Hanging-Handmade/dp/B078WLR4SF/ref=sr_1_14?ie=UTF8&amp;qid=1544623865&amp;sr=8-14&amp;keywords=Shoehorn" TargetMode="External"/><Relationship Id="rId1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5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3" Type="http://schemas.openxmlformats.org/officeDocument/2006/relationships/hyperlink" Target="https://www.amazon.co.uk/JOYIN-Non-Toxic-Ultimate-including-METALLIC/dp/B075FH22G4/ref=sr_1_2_sspa?ie=UTF8&amp;qid=1544518629&amp;sr=8-2-spons&amp;keywords=face+paint&amp;psc=1" TargetMode="External"/><Relationship Id="rId28" Type="http://schemas.openxmlformats.org/officeDocument/2006/relationships/hyperlink" Target="http://www.amazon.de/gp/product/B07GV6GRW2" TargetMode="External"/><Relationship Id="rId36" Type="http://schemas.openxmlformats.org/officeDocument/2006/relationships/hyperlink" Target="https://www.amazon.co.uk/Shoulder-Adjustable-Dislocated-Neoprene-Recovery/dp/B071ZSCC9C/ref=sr_1_2_sspa?s=sports&amp;ie=UTF8&amp;qid=1534730807&amp;sr=1-2-spons&amp;keywords=Shoulder+Support+Brace+Strap&amp;psc=1" TargetMode="External"/><Relationship Id="rId49" Type="http://schemas.openxmlformats.org/officeDocument/2006/relationships/hyperlink" Target="https://www.amazon.it/Alleviare-Traspirante-Epicondilite-Indolenzimento-Muscolaredel/dp/B07BYSZ2VK/ref=pd_sbs_364_30?_encoding=UTF8&amp;psc=1&amp;refRID=KYHRDCQ3W7GRTYKSAJAN" TargetMode="External"/><Relationship Id="rId57" Type="http://schemas.openxmlformats.org/officeDocument/2006/relationships/hyperlink" Target="https://www.amazon.de/iZoeL-Korrektur-Hammerzeh-Korrekturschiene-Ballenschutz/dp/B071113X92/ref=sr_1_11?ie=UTF8&amp;qid=1522315918&amp;sr=8-11&amp;keywords=Bunion+Korrektur+Hallux+Valgus" TargetMode="External"/><Relationship Id="rId10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31" Type="http://schemas.openxmlformats.org/officeDocument/2006/relationships/hyperlink" Target="https://www.amazon.de/Anpro-Extruder-Drucker-Messing-Druckk%C3%B6pfe/dp/B07BMPWZHZ/ref=sr_1_115?ie=UTF8&amp;qid=1544192067&amp;sr=8-115&amp;keywords=Anpro" TargetMode="External"/><Relationship Id="rId44" Type="http://schemas.openxmlformats.org/officeDocument/2006/relationships/hyperlink" Target="https://www.amazon.es/piezas-Tienda-Tornillo-prueba-Accesorio/dp/B07BP11XVL/ref=sr_1_cc_2?s=aps&amp;ie=UTF8&amp;qid=1525487146&amp;sr=1-2-catcorr&amp;keywords=Clip+a+prueba+de+viento+de+la+tienda" TargetMode="External"/><Relationship Id="rId52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60" Type="http://schemas.openxmlformats.org/officeDocument/2006/relationships/hyperlink" Target="https://www.amazon.com/KROWNER-Mini-Humidifier-Office-Charge/dp/B07B3QDCMX/ref=sr_1_7?ie=UTF8&amp;qid=1544433404&amp;sr=8-7&amp;keywords=USB+mini+light+humidifier+dark+brown" TargetMode="External"/><Relationship Id="rId65" Type="http://schemas.openxmlformats.org/officeDocument/2006/relationships/hyperlink" Target="https://www.amazon.it/gp/product/B0778FYT5S" TargetMode="External"/><Relationship Id="rId73" Type="http://schemas.openxmlformats.org/officeDocument/2006/relationships/hyperlink" Target="https://www.amazon.es/LUXJET-iluminaci%C3%B3n-regulable-infantiles-escritorio/dp/B075MWWGWD/ref=pd_sbs_201_4?_encoding=UTF8&amp;psc=1&amp;refRID=FDVE0JHBGF7NQY82RQX1" TargetMode="External"/><Relationship Id="rId78" Type="http://schemas.openxmlformats.org/officeDocument/2006/relationships/hyperlink" Target="https://www.amazon.it/Venkaite-Runner-matrimonio-Festival-Decorazione/dp/B06XTQ8869/ref=sr_1_5?s=toys&amp;ie=UTF8&amp;qid=1525923784&amp;sr=1-5&amp;keywords=Runner" TargetMode="External"/><Relationship Id="rId4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9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3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8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39" Type="http://schemas.openxmlformats.org/officeDocument/2006/relationships/hyperlink" Target="https://www.amazon.co.uk/Jia-Inc-Universal-Pushchair-Diamteter/dp/B076KKXDYC/ref=pd_day0_c_75_27?_encoding=UTF8&amp;pd_rd_i=B076KJPDML&amp;pd_rd_r=31c8467f-e649-11e8-84c2-9b8c2383eeea&amp;pd_rd_w=eIP2p&amp;pd_rd_wg=6" TargetMode="External"/><Relationship Id="rId34" Type="http://schemas.openxmlformats.org/officeDocument/2006/relationships/hyperlink" Target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TargetMode="External"/><Relationship Id="rId50" Type="http://schemas.openxmlformats.org/officeDocument/2006/relationships/hyperlink" Target="https://www.amazon.de/Fingerschiene-Gegenst%C3%BCtze-tenosynovity-verstellbare-innovativen/dp/B077MJY3HD/ref=sr_1_3?ie=UTF8&amp;qid=1525937723&amp;sr=8-3&amp;keywords=verstellbar+Fingerschiene+Brace" TargetMode="External"/><Relationship Id="rId55" Type="http://schemas.openxmlformats.org/officeDocument/2006/relationships/hyperlink" Target="https://www.amazon.co.uk/dp/B01NBA7W27" TargetMode="External"/><Relationship Id="rId76" Type="http://schemas.openxmlformats.org/officeDocument/2006/relationships/hyperlink" Target="https://www.amazon.co.uk/Multi-Kinetic-Agitator-Plastic-Beater/dp/B07F7QZ68L/ref=sr_1_14?ie=UTF8&amp;qid=1544623900&amp;sr=8-14&amp;keywords=Agitator" TargetMode="External"/><Relationship Id="rId7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71" Type="http://schemas.openxmlformats.org/officeDocument/2006/relationships/hyperlink" Target="https://www.amazon.co.uk/Hamimelon-Aluminium-Mountain-Bicycle-Handlebar/dp/B074GRHRVK/ref=sr_1_3?ie=UTF8&amp;qid=1544623774&amp;sr=8-3&amp;keywords=handlebar" TargetMode="External"/><Relationship Id="rId2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29" Type="http://schemas.openxmlformats.org/officeDocument/2006/relationships/hyperlink" Target="https://www.amazon.de/Anpro-S%C3%BC%C3%9Figkeitent%C3%BCten-Bindestreifen-transparente-Verpackung/dp/B075V1Z57N/ref=sr_1_23?ie=UTF8&amp;qid=1544191877&amp;sr=8-23&amp;keywords=Anpro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mazon.co.uk/dp/B074N1RL61" TargetMode="External"/><Relationship Id="rId21" Type="http://schemas.openxmlformats.org/officeDocument/2006/relationships/hyperlink" Target="https://www.amazon.de/dp/B076MP45KL" TargetMode="External"/><Relationship Id="rId42" Type="http://schemas.openxmlformats.org/officeDocument/2006/relationships/hyperlink" Target="https://www.amazon.es/dp/B07KG72Z3Q" TargetMode="External"/><Relationship Id="rId47" Type="http://schemas.openxmlformats.org/officeDocument/2006/relationships/hyperlink" Target="https://www.amazon.com/Hacloser-Electric-Clippers-Manicure-Scissors/dp/B078MHB3G3/ref=sr_1_8_a_it?ie=UTF8&amp;qid=1544433667&amp;sr=8-8&amp;keywords=Electric+baby+nail+scissors+nail+polisher" TargetMode="External"/><Relationship Id="rId63" Type="http://schemas.openxmlformats.org/officeDocument/2006/relationships/hyperlink" Target="https://www.amazon.es/dp/B07HB4RX6C" TargetMode="External"/><Relationship Id="rId68" Type="http://schemas.openxmlformats.org/officeDocument/2006/relationships/hyperlink" Target="https://www.amazon.it/dp/B07DBWK9LT" TargetMode="External"/><Relationship Id="rId16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1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32" Type="http://schemas.openxmlformats.org/officeDocument/2006/relationships/hyperlink" Target="https://www.amazon.de/gp/slredirect/picassoRedirect.html/ref=sspa_dk_detail_3?ie=UTF8&amp;adId=A10423032WO6ZUL9WOY66&amp;qualifier=1525491465&amp;id=7321720462760423&amp;widgetName=sp_detail&amp;url=%2Fdp%2FB074GT3DCK%2F" TargetMode="External"/><Relationship Id="rId37" Type="http://schemas.openxmlformats.org/officeDocument/2006/relationships/hyperlink" Target="https://www.amazon.com/Retainer-Plastic-Fasteners-YYINGG-Chrysler/dp/B07CWVP2N7/ref=sr_1_2?ie=UTF8&amp;qid=1544433428&amp;sr=8-2&amp;keywords=Car+lining+buckle" TargetMode="External"/><Relationship Id="rId53" Type="http://schemas.openxmlformats.org/officeDocument/2006/relationships/hyperlink" Target="https://es.aliexpress.com/store/product/Stainless-Steel-Wall-Hanger-Retractable-Indoor-Clothes-Hanger-Magic-Foldable-Drying-Rack-Waterproof-Clothes-Towel-Rack/1504995_32706428681.html?spm=2114.12010615.0.0.450737453uH8W5" TargetMode="External"/><Relationship Id="rId58" Type="http://schemas.openxmlformats.org/officeDocument/2006/relationships/hyperlink" Target="https://www.amazon.it/Supporto-Braccio-Bambino-dellAvambraccio-Immobilizzatore/dp/B077NWPH8P/ref=pd_sbs_121_9?_encoding=UTF8&amp;psc=1&amp;refRID=M58G7JN0RBSFHJ091Q9D" TargetMode="External"/><Relationship Id="rId74" Type="http://schemas.openxmlformats.org/officeDocument/2006/relationships/hyperlink" Target="https://www.amazon.co.uk/Eyelash-Crystal-Spoolie-Cosmetic-Applicator/dp/B07G9C1WPN/ref=sr_1_13_a_it?ie=UTF8&amp;qid=1544623837&amp;sr=8-13&amp;keywords=Eyelash+brush" TargetMode="External"/><Relationship Id="rId79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5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1" Type="http://schemas.openxmlformats.org/officeDocument/2006/relationships/hyperlink" Target="https://www.amazon.es/dp/B07F7ZS9W8" TargetMode="External"/><Relationship Id="rId19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14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2" Type="http://schemas.openxmlformats.org/officeDocument/2006/relationships/hyperlink" Target="https://www.amazon.co.uk/Professional-Kitchen-Blowtorch-Cooking-Welding/dp/B075688X7X/ref=zg_bs_11713221_23?_encoding=UTF8&amp;refRID=YSNHSZ6Z78MKAGYXC94J" TargetMode="External"/><Relationship Id="rId27" Type="http://schemas.openxmlformats.org/officeDocument/2006/relationships/hyperlink" Target="https://www.amazon.co.uk/HUAANIUE-Sparkles-Camisole-Gymnastics-Costumes/dp/B07J9PXVHS/ref=lp_14764999031_1_11?srs=14764999031&amp;ie=UTF8&amp;qid=1543568234&amp;sr=8-11" TargetMode="External"/><Relationship Id="rId30" Type="http://schemas.openxmlformats.org/officeDocument/2006/relationships/hyperlink" Target="https://www.amazon.de/dp/B07CHJ239X" TargetMode="External"/><Relationship Id="rId35" Type="http://schemas.openxmlformats.org/officeDocument/2006/relationships/hyperlink" Target="https://www.amazon.com/Taekwondo-Durable-Target-Kickboxing-Training-Red/dp/B06Y2WR1LK/ref=sr_1_fkmr0_1?s=sporting-goods&amp;ie=UTF8&amp;qid=1543916289&amp;sr=1-1-fkmr0&amp;keywords=Taekwondo+curved+double-leaf+target" TargetMode="External"/><Relationship Id="rId43" Type="http://schemas.openxmlformats.org/officeDocument/2006/relationships/hyperlink" Target="https://www.amazon.es/dp/B07H5D31CV" TargetMode="External"/><Relationship Id="rId48" Type="http://schemas.openxmlformats.org/officeDocument/2006/relationships/hyperlink" Target="https://www.amazon.de/dp/B077GQBJG4/ref=sspa_dk_detail_4?psc=1" TargetMode="External"/><Relationship Id="rId56" Type="http://schemas.openxmlformats.org/officeDocument/2006/relationships/hyperlink" Target="https://www.amazon.it/Antiscivolo-Regolabile-Gomitiera-Pallacanestro-Riabilitazione/dp/B071FZW5CG/ref=pd_cp_200_1?_encoding=UTF8&amp;psc=1&amp;refRID=TJSYKHHVZ1KJF8CCJJG4" TargetMode="External"/><Relationship Id="rId64" Type="http://schemas.openxmlformats.org/officeDocument/2006/relationships/hyperlink" Target="https://www.amazon.es/dp/B07K8MG51W" TargetMode="External"/><Relationship Id="rId69" Type="http://schemas.openxmlformats.org/officeDocument/2006/relationships/hyperlink" Target="https://www.amazon.co.uk/KKmoon-WQE9112418240704NL-Speed-Insert-Replacement/dp/B01LVTWO97/ref=pd_sbs_263_2?_encoding=UTF8&amp;pd_rd_i=B01LVTWO97&amp;pd_rd_r=9adbef92-e65a-11e8-ac8a-91802bc767b5&amp;pd_rd_w=k3YXm&amp;" TargetMode="External"/><Relationship Id="rId77" Type="http://schemas.openxmlformats.org/officeDocument/2006/relationships/hyperlink" Target="https://www.amazon.fr/ZJchao-%C3%A9lastique-tactique-pistolet-munitions/dp/B01FM09IHS/ref=pd_sim_200_1?_encoding=UTF8&amp;psc=1&amp;refRID=55Q4EKYSH04GHJTAN64G" TargetMode="External"/><Relationship Id="rId8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51" Type="http://schemas.openxmlformats.org/officeDocument/2006/relationships/hyperlink" Target="https://www.amazon.com/Extractor-Tool-TIMLand-Professional-Blackheads-Double-ended/dp/B07FNSD8NG/ref=sr_1_5?ie=UTF8&amp;qid=1544433654&amp;sr=8-5&amp;keywords=Stainless+steel+acne+needle+set+acne+pick+acne+needle+acne+needle+7+sets" TargetMode="External"/><Relationship Id="rId72" Type="http://schemas.openxmlformats.org/officeDocument/2006/relationships/hyperlink" Target="https://www.amazon.de/dp/B01N6A8MBH" TargetMode="External"/><Relationship Id="rId80" Type="http://schemas.openxmlformats.org/officeDocument/2006/relationships/printerSettings" Target="../printerSettings/printerSettings1.bin"/><Relationship Id="rId3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2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7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5" Type="http://schemas.openxmlformats.org/officeDocument/2006/relationships/hyperlink" Target="https://www.amazon.it/WINOMO-Copridivano-Copertine-Elasticit%C3%A0-Protezione/dp/B075J9BM67/ref=pd_sbs_86_1?_encoding=UTF8&amp;psc=1&amp;refRID=53BJPGS1NB6266WPXFG7" TargetMode="External"/><Relationship Id="rId33" Type="http://schemas.openxmlformats.org/officeDocument/2006/relationships/hyperlink" Target="https://www.amazon.com/Camouflage-Tactical-Protective-Seamless-N-strike/dp/B01M5D1BIO/ref=sr_1_2?ie=UTF8&amp;qid=1544433617&amp;sr=8-2&amp;keywords=Camouflage+tactical+vest+soft+bullet+tactical+equipment+set" TargetMode="External"/><Relationship Id="rId38" Type="http://schemas.openxmlformats.org/officeDocument/2006/relationships/hyperlink" Target="https://www.amazon.fr/dp/B01N5QCX4U/ref=sspa_dk_detail_0?psc=1" TargetMode="External"/><Relationship Id="rId46" Type="http://schemas.openxmlformats.org/officeDocument/2006/relationships/hyperlink" Target="https://www.ebay.com/itm/Multi-function-Kitchen-Storage-Rack-Cupboard-Hanging-Hook-Hanger-Sundries-Holder-/202254071245?oid=252810675055" TargetMode="External"/><Relationship Id="rId59" Type="http://schemas.openxmlformats.org/officeDocument/2006/relationships/hyperlink" Target="https://www.amazon.es/Montar-Prueba-Viento-Caliente-m%C3%A1scara/dp/B07KSV7RLB/ref=sr_1_7?s=electronics&amp;ie=UTF8&amp;qid=1544150815&amp;sr=1-7&amp;keywords=Outdoor+riding+mask" TargetMode="External"/><Relationship Id="rId67" Type="http://schemas.openxmlformats.org/officeDocument/2006/relationships/hyperlink" Target="https://www.amazon.es/gp/product/B07BHN83BW" TargetMode="External"/><Relationship Id="rId20" Type="http://schemas.openxmlformats.org/officeDocument/2006/relationships/hyperlink" Target="https://www.amazon.co.uk/dp/B079HN3F1D" TargetMode="External"/><Relationship Id="rId41" Type="http://schemas.openxmlformats.org/officeDocument/2006/relationships/hyperlink" Target="https://www.amazon.es/dp/B07K3WP6V9" TargetMode="External"/><Relationship Id="rId54" Type="http://schemas.openxmlformats.org/officeDocument/2006/relationships/hyperlink" Target="https://www.amazon.de/Docht-%C3%96llampe-Ollampe-Lampendocht-36PC/dp/B071J5FLD6/ref=sr_1_fkmr2_2?ie=UTF8&amp;qid=1525487128&amp;sr=8-2-fkmr2&amp;keywords=Hitzebest%C3%A4ndige+%C3%96llampe+Docht" TargetMode="External"/><Relationship Id="rId62" Type="http://schemas.openxmlformats.org/officeDocument/2006/relationships/hyperlink" Target="https://www.amazon.es/dp/B07JFH9HZH" TargetMode="External"/><Relationship Id="rId70" Type="http://schemas.openxmlformats.org/officeDocument/2006/relationships/hyperlink" Target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TargetMode="External"/><Relationship Id="rId75" Type="http://schemas.openxmlformats.org/officeDocument/2006/relationships/hyperlink" Target="https://www.amazon.co.uk/Handled-Shoehorn-Stainless-Hanging-Handmade/dp/B078WLR4SF/ref=sr_1_14?ie=UTF8&amp;qid=1544623865&amp;sr=8-14&amp;keywords=Shoehorn" TargetMode="External"/><Relationship Id="rId1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5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3" Type="http://schemas.openxmlformats.org/officeDocument/2006/relationships/hyperlink" Target="https://www.amazon.co.uk/JOYIN-Non-Toxic-Ultimate-including-METALLIC/dp/B075FH22G4/ref=sr_1_2_sspa?ie=UTF8&amp;qid=1544518629&amp;sr=8-2-spons&amp;keywords=face+paint&amp;psc=1" TargetMode="External"/><Relationship Id="rId28" Type="http://schemas.openxmlformats.org/officeDocument/2006/relationships/hyperlink" Target="http://www.amazon.de/gp/product/B07GV6GRW2" TargetMode="External"/><Relationship Id="rId36" Type="http://schemas.openxmlformats.org/officeDocument/2006/relationships/hyperlink" Target="https://www.amazon.co.uk/Shoulder-Adjustable-Dislocated-Neoprene-Recovery/dp/B071ZSCC9C/ref=sr_1_2_sspa?s=sports&amp;ie=UTF8&amp;qid=1534730807&amp;sr=1-2-spons&amp;keywords=Shoulder+Support+Brace+Strap&amp;psc=1" TargetMode="External"/><Relationship Id="rId49" Type="http://schemas.openxmlformats.org/officeDocument/2006/relationships/hyperlink" Target="https://www.amazon.it/Alleviare-Traspirante-Epicondilite-Indolenzimento-Muscolaredel/dp/B07BYSZ2VK/ref=pd_sbs_364_30?_encoding=UTF8&amp;psc=1&amp;refRID=KYHRDCQ3W7GRTYKSAJAN" TargetMode="External"/><Relationship Id="rId57" Type="http://schemas.openxmlformats.org/officeDocument/2006/relationships/hyperlink" Target="https://www.amazon.de/iZoeL-Korrektur-Hammerzeh-Korrekturschiene-Ballenschutz/dp/B071113X92/ref=sr_1_11?ie=UTF8&amp;qid=1522315918&amp;sr=8-11&amp;keywords=Bunion+Korrektur+Hallux+Valgus" TargetMode="External"/><Relationship Id="rId10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31" Type="http://schemas.openxmlformats.org/officeDocument/2006/relationships/hyperlink" Target="https://www.amazon.de/Anpro-Extruder-Drucker-Messing-Druckk%C3%B6pfe/dp/B07BMPWZHZ/ref=sr_1_115?ie=UTF8&amp;qid=1544192067&amp;sr=8-115&amp;keywords=Anpro" TargetMode="External"/><Relationship Id="rId44" Type="http://schemas.openxmlformats.org/officeDocument/2006/relationships/hyperlink" Target="https://www.amazon.es/piezas-Tienda-Tornillo-prueba-Accesorio/dp/B07BP11XVL/ref=sr_1_cc_2?s=aps&amp;ie=UTF8&amp;qid=1525487146&amp;sr=1-2-catcorr&amp;keywords=Clip+a+prueba+de+viento+de+la+tienda" TargetMode="External"/><Relationship Id="rId52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60" Type="http://schemas.openxmlformats.org/officeDocument/2006/relationships/hyperlink" Target="https://www.amazon.com/KROWNER-Mini-Humidifier-Office-Charge/dp/B07B3QDCMX/ref=sr_1_7?ie=UTF8&amp;qid=1544433404&amp;sr=8-7&amp;keywords=USB+mini+light+humidifier+dark+brown" TargetMode="External"/><Relationship Id="rId65" Type="http://schemas.openxmlformats.org/officeDocument/2006/relationships/hyperlink" Target="https://www.amazon.it/gp/product/B0778FYT5S" TargetMode="External"/><Relationship Id="rId73" Type="http://schemas.openxmlformats.org/officeDocument/2006/relationships/hyperlink" Target="https://www.amazon.es/LUXJET-iluminaci%C3%B3n-regulable-infantiles-escritorio/dp/B075MWWGWD/ref=pd_sbs_201_4?_encoding=UTF8&amp;psc=1&amp;refRID=FDVE0JHBGF7NQY82RQX1" TargetMode="External"/><Relationship Id="rId78" Type="http://schemas.openxmlformats.org/officeDocument/2006/relationships/hyperlink" Target="https://www.amazon.it/Venkaite-Runner-matrimonio-Festival-Decorazione/dp/B06XTQ8869/ref=sr_1_5?s=toys&amp;ie=UTF8&amp;qid=1525923784&amp;sr=1-5&amp;keywords=Runner" TargetMode="External"/><Relationship Id="rId81" Type="http://schemas.openxmlformats.org/officeDocument/2006/relationships/drawing" Target="../drawings/drawing3.xml"/><Relationship Id="rId4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9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3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8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39" Type="http://schemas.openxmlformats.org/officeDocument/2006/relationships/hyperlink" Target="https://www.amazon.co.uk/Jia-Inc-Universal-Pushchair-Diamteter/dp/B076KKXDYC/ref=pd_day0_c_75_27?_encoding=UTF8&amp;pd_rd_i=B076KJPDML&amp;pd_rd_r=31c8467f-e649-11e8-84c2-9b8c2383eeea&amp;pd_rd_w=eIP2p&amp;pd_rd_wg=6" TargetMode="External"/><Relationship Id="rId34" Type="http://schemas.openxmlformats.org/officeDocument/2006/relationships/hyperlink" Target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TargetMode="External"/><Relationship Id="rId50" Type="http://schemas.openxmlformats.org/officeDocument/2006/relationships/hyperlink" Target="https://www.amazon.de/Fingerschiene-Gegenst%C3%BCtze-tenosynovity-verstellbare-innovativen/dp/B077MJY3HD/ref=sr_1_3?ie=UTF8&amp;qid=1525937723&amp;sr=8-3&amp;keywords=verstellbar+Fingerschiene+Brace" TargetMode="External"/><Relationship Id="rId55" Type="http://schemas.openxmlformats.org/officeDocument/2006/relationships/hyperlink" Target="https://www.amazon.co.uk/dp/B01NBA7W27" TargetMode="External"/><Relationship Id="rId76" Type="http://schemas.openxmlformats.org/officeDocument/2006/relationships/hyperlink" Target="https://www.amazon.co.uk/Multi-Kinetic-Agitator-Plastic-Beater/dp/B07F7QZ68L/ref=sr_1_14?ie=UTF8&amp;qid=1544623900&amp;sr=8-14&amp;keywords=Agitator" TargetMode="External"/><Relationship Id="rId7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71" Type="http://schemas.openxmlformats.org/officeDocument/2006/relationships/hyperlink" Target="https://www.amazon.co.uk/Hamimelon-Aluminium-Mountain-Bicycle-Handlebar/dp/B074GRHRVK/ref=sr_1_3?ie=UTF8&amp;qid=1544623774&amp;sr=8-3&amp;keywords=handlebar" TargetMode="External"/><Relationship Id="rId2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29" Type="http://schemas.openxmlformats.org/officeDocument/2006/relationships/hyperlink" Target="https://www.amazon.de/Anpro-S%C3%BC%C3%9Figkeitent%C3%BCten-Bindestreifen-transparente-Verpackung/dp/B075V1Z57N/ref=sr_1_23?ie=UTF8&amp;qid=1544191877&amp;sr=8-23&amp;keywords=Anpro" TargetMode="External"/><Relationship Id="rId24" Type="http://schemas.openxmlformats.org/officeDocument/2006/relationships/hyperlink" Target="https://www.amazon.es/protector-slipcover-el%C3%A1stico-plegable-cubierta/dp/B076KRXN27/ref=sr_1_2?s=kitchen&amp;ie=UTF8&amp;qid=1525778100&amp;sr=1-2&amp;keywords=Cubierta+del+sof%C3%A1+el%C3%A1stico" TargetMode="External"/><Relationship Id="rId40" Type="http://schemas.openxmlformats.org/officeDocument/2006/relationships/hyperlink" Target="https://www.amazon.it/dp/B078RLT6KY/ref=sspa_dk_detail_1?psc=1" TargetMode="External"/><Relationship Id="rId45" Type="http://schemas.openxmlformats.org/officeDocument/2006/relationships/hyperlink" Target="https://www.amazon.it/plastica-trasparente-alimentari-Contenitori-dimensione/dp/B06X186CRX/ref=pd_sbs_201_3?_encoding=UTF8&amp;pd_rd_i=B06X186CRX&amp;pd_rd_r=77d14396-5f2d-11e8-a6b6-e9dc1ff8f7d6&amp;pd_rd_w=yo8JH" TargetMode="External"/><Relationship Id="rId66" Type="http://schemas.openxmlformats.org/officeDocument/2006/relationships/hyperlink" Target="https://www.amazon.it/dp/B07F7ZXM8M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mazon.co.uk/dp/B074N1RL61" TargetMode="External"/><Relationship Id="rId21" Type="http://schemas.openxmlformats.org/officeDocument/2006/relationships/hyperlink" Target="https://www.amazon.de/dp/B076MP45KL" TargetMode="External"/><Relationship Id="rId42" Type="http://schemas.openxmlformats.org/officeDocument/2006/relationships/hyperlink" Target="https://www.amazon.es/dp/B07KG72Z3Q" TargetMode="External"/><Relationship Id="rId47" Type="http://schemas.openxmlformats.org/officeDocument/2006/relationships/hyperlink" Target="https://www.amazon.com/Hacloser-Electric-Clippers-Manicure-Scissors/dp/B078MHB3G3/ref=sr_1_8_a_it?ie=UTF8&amp;qid=1544433667&amp;sr=8-8&amp;keywords=Electric+baby+nail+scissors+nail+polisher" TargetMode="External"/><Relationship Id="rId63" Type="http://schemas.openxmlformats.org/officeDocument/2006/relationships/hyperlink" Target="https://www.amazon.es/dp/B07HB4RX6C" TargetMode="External"/><Relationship Id="rId68" Type="http://schemas.openxmlformats.org/officeDocument/2006/relationships/hyperlink" Target="https://www.amazon.it/dp/B07DBWK9LT" TargetMode="External"/><Relationship Id="rId16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1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32" Type="http://schemas.openxmlformats.org/officeDocument/2006/relationships/hyperlink" Target="https://www.amazon.de/gp/slredirect/picassoRedirect.html/ref=sspa_dk_detail_3?ie=UTF8&amp;adId=A10423032WO6ZUL9WOY66&amp;qualifier=1525491465&amp;id=7321720462760423&amp;widgetName=sp_detail&amp;url=%2Fdp%2FB074GT3DCK%2F" TargetMode="External"/><Relationship Id="rId37" Type="http://schemas.openxmlformats.org/officeDocument/2006/relationships/hyperlink" Target="https://www.amazon.com/Retainer-Plastic-Fasteners-YYINGG-Chrysler/dp/B07CWVP2N7/ref=sr_1_2?ie=UTF8&amp;qid=1544433428&amp;sr=8-2&amp;keywords=Car+lining+buckle" TargetMode="External"/><Relationship Id="rId53" Type="http://schemas.openxmlformats.org/officeDocument/2006/relationships/hyperlink" Target="https://es.aliexpress.com/store/product/Stainless-Steel-Wall-Hanger-Retractable-Indoor-Clothes-Hanger-Magic-Foldable-Drying-Rack-Waterproof-Clothes-Towel-Rack/1504995_32706428681.html?spm=2114.12010615.0.0.450737453uH8W5" TargetMode="External"/><Relationship Id="rId58" Type="http://schemas.openxmlformats.org/officeDocument/2006/relationships/hyperlink" Target="https://www.amazon.it/Supporto-Braccio-Bambino-dellAvambraccio-Immobilizzatore/dp/B077NWPH8P/ref=pd_sbs_121_9?_encoding=UTF8&amp;psc=1&amp;refRID=M58G7JN0RBSFHJ091Q9D" TargetMode="External"/><Relationship Id="rId74" Type="http://schemas.openxmlformats.org/officeDocument/2006/relationships/hyperlink" Target="https://www.amazon.co.uk/Eyelash-Crystal-Spoolie-Cosmetic-Applicator/dp/B07G9C1WPN/ref=sr_1_13_a_it?ie=UTF8&amp;qid=1544623837&amp;sr=8-13&amp;keywords=Eyelash+brush" TargetMode="External"/><Relationship Id="rId79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5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1" Type="http://schemas.openxmlformats.org/officeDocument/2006/relationships/hyperlink" Target="https://www.amazon.es/dp/B07F7ZS9W8" TargetMode="External"/><Relationship Id="rId19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14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2" Type="http://schemas.openxmlformats.org/officeDocument/2006/relationships/hyperlink" Target="https://www.amazon.co.uk/Professional-Kitchen-Blowtorch-Cooking-Welding/dp/B075688X7X/ref=zg_bs_11713221_23?_encoding=UTF8&amp;refRID=YSNHSZ6Z78MKAGYXC94J" TargetMode="External"/><Relationship Id="rId27" Type="http://schemas.openxmlformats.org/officeDocument/2006/relationships/hyperlink" Target="https://www.amazon.co.uk/HUAANIUE-Sparkles-Camisole-Gymnastics-Costumes/dp/B07J9PXVHS/ref=lp_14764999031_1_11?srs=14764999031&amp;ie=UTF8&amp;qid=1543568234&amp;sr=8-11" TargetMode="External"/><Relationship Id="rId30" Type="http://schemas.openxmlformats.org/officeDocument/2006/relationships/hyperlink" Target="https://www.amazon.de/dp/B07CHJ239X" TargetMode="External"/><Relationship Id="rId35" Type="http://schemas.openxmlformats.org/officeDocument/2006/relationships/hyperlink" Target="https://www.amazon.com/Taekwondo-Durable-Target-Kickboxing-Training-Red/dp/B06Y2WR1LK/ref=sr_1_fkmr0_1?s=sporting-goods&amp;ie=UTF8&amp;qid=1543916289&amp;sr=1-1-fkmr0&amp;keywords=Taekwondo+curved+double-leaf+target" TargetMode="External"/><Relationship Id="rId43" Type="http://schemas.openxmlformats.org/officeDocument/2006/relationships/hyperlink" Target="https://www.amazon.es/dp/B07H5D31CV" TargetMode="External"/><Relationship Id="rId48" Type="http://schemas.openxmlformats.org/officeDocument/2006/relationships/hyperlink" Target="https://www.amazon.de/dp/B077GQBJG4/ref=sspa_dk_detail_4?psc=1" TargetMode="External"/><Relationship Id="rId56" Type="http://schemas.openxmlformats.org/officeDocument/2006/relationships/hyperlink" Target="https://www.amazon.it/Antiscivolo-Regolabile-Gomitiera-Pallacanestro-Riabilitazione/dp/B071FZW5CG/ref=pd_cp_200_1?_encoding=UTF8&amp;psc=1&amp;refRID=TJSYKHHVZ1KJF8CCJJG4" TargetMode="External"/><Relationship Id="rId64" Type="http://schemas.openxmlformats.org/officeDocument/2006/relationships/hyperlink" Target="https://www.amazon.es/dp/B07K8MG51W" TargetMode="External"/><Relationship Id="rId69" Type="http://schemas.openxmlformats.org/officeDocument/2006/relationships/hyperlink" Target="https://www.amazon.co.uk/KKmoon-WQE9112418240704NL-Speed-Insert-Replacement/dp/B01LVTWO97/ref=pd_sbs_263_2?_encoding=UTF8&amp;pd_rd_i=B01LVTWO97&amp;pd_rd_r=9adbef92-e65a-11e8-ac8a-91802bc767b5&amp;pd_rd_w=k3YXm&amp;" TargetMode="External"/><Relationship Id="rId77" Type="http://schemas.openxmlformats.org/officeDocument/2006/relationships/hyperlink" Target="https://www.amazon.fr/ZJchao-%C3%A9lastique-tactique-pistolet-munitions/dp/B01FM09IHS/ref=pd_sim_200_1?_encoding=UTF8&amp;psc=1&amp;refRID=55Q4EKYSH04GHJTAN64G" TargetMode="External"/><Relationship Id="rId8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51" Type="http://schemas.openxmlformats.org/officeDocument/2006/relationships/hyperlink" Target="https://www.amazon.com/Extractor-Tool-TIMLand-Professional-Blackheads-Double-ended/dp/B07FNSD8NG/ref=sr_1_5?ie=UTF8&amp;qid=1544433654&amp;sr=8-5&amp;keywords=Stainless+steel+acne+needle+set+acne+pick+acne+needle+acne+needle+7+sets" TargetMode="External"/><Relationship Id="rId72" Type="http://schemas.openxmlformats.org/officeDocument/2006/relationships/hyperlink" Target="https://www.amazon.de/dp/B01N6A8MBH" TargetMode="External"/><Relationship Id="rId80" Type="http://schemas.openxmlformats.org/officeDocument/2006/relationships/printerSettings" Target="../printerSettings/printerSettings2.bin"/><Relationship Id="rId3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2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7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5" Type="http://schemas.openxmlformats.org/officeDocument/2006/relationships/hyperlink" Target="https://www.amazon.it/WINOMO-Copridivano-Copertine-Elasticit%C3%A0-Protezione/dp/B075J9BM67/ref=pd_sbs_86_1?_encoding=UTF8&amp;psc=1&amp;refRID=53BJPGS1NB6266WPXFG7" TargetMode="External"/><Relationship Id="rId33" Type="http://schemas.openxmlformats.org/officeDocument/2006/relationships/hyperlink" Target="https://www.amazon.com/Camouflage-Tactical-Protective-Seamless-N-strike/dp/B01M5D1BIO/ref=sr_1_2?ie=UTF8&amp;qid=1544433617&amp;sr=8-2&amp;keywords=Camouflage+tactical+vest+soft+bullet+tactical+equipment+set" TargetMode="External"/><Relationship Id="rId38" Type="http://schemas.openxmlformats.org/officeDocument/2006/relationships/hyperlink" Target="https://www.amazon.fr/dp/B01N5QCX4U/ref=sspa_dk_detail_0?psc=1" TargetMode="External"/><Relationship Id="rId46" Type="http://schemas.openxmlformats.org/officeDocument/2006/relationships/hyperlink" Target="https://www.ebay.com/itm/Multi-function-Kitchen-Storage-Rack-Cupboard-Hanging-Hook-Hanger-Sundries-Holder-/202254071245?oid=252810675055" TargetMode="External"/><Relationship Id="rId59" Type="http://schemas.openxmlformats.org/officeDocument/2006/relationships/hyperlink" Target="https://www.amazon.es/Montar-Prueba-Viento-Caliente-m%C3%A1scara/dp/B07KSV7RLB/ref=sr_1_7?s=electronics&amp;ie=UTF8&amp;qid=1544150815&amp;sr=1-7&amp;keywords=Outdoor+riding+mask" TargetMode="External"/><Relationship Id="rId67" Type="http://schemas.openxmlformats.org/officeDocument/2006/relationships/hyperlink" Target="https://www.amazon.es/gp/product/B07BHN83BW" TargetMode="External"/><Relationship Id="rId20" Type="http://schemas.openxmlformats.org/officeDocument/2006/relationships/hyperlink" Target="https://www.amazon.co.uk/dp/B079HN3F1D" TargetMode="External"/><Relationship Id="rId41" Type="http://schemas.openxmlformats.org/officeDocument/2006/relationships/hyperlink" Target="https://www.amazon.es/dp/B07K3WP6V9" TargetMode="External"/><Relationship Id="rId54" Type="http://schemas.openxmlformats.org/officeDocument/2006/relationships/hyperlink" Target="https://www.amazon.de/Docht-%C3%96llampe-Ollampe-Lampendocht-36PC/dp/B071J5FLD6/ref=sr_1_fkmr2_2?ie=UTF8&amp;qid=1525487128&amp;sr=8-2-fkmr2&amp;keywords=Hitzebest%C3%A4ndige+%C3%96llampe+Docht" TargetMode="External"/><Relationship Id="rId62" Type="http://schemas.openxmlformats.org/officeDocument/2006/relationships/hyperlink" Target="https://www.amazon.es/dp/B07JFH9HZH" TargetMode="External"/><Relationship Id="rId70" Type="http://schemas.openxmlformats.org/officeDocument/2006/relationships/hyperlink" Target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TargetMode="External"/><Relationship Id="rId75" Type="http://schemas.openxmlformats.org/officeDocument/2006/relationships/hyperlink" Target="https://www.amazon.co.uk/Handled-Shoehorn-Stainless-Hanging-Handmade/dp/B078WLR4SF/ref=sr_1_14?ie=UTF8&amp;qid=1544623865&amp;sr=8-14&amp;keywords=Shoehorn" TargetMode="External"/><Relationship Id="rId1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5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3" Type="http://schemas.openxmlformats.org/officeDocument/2006/relationships/hyperlink" Target="https://www.amazon.co.uk/JOYIN-Non-Toxic-Ultimate-including-METALLIC/dp/B075FH22G4/ref=sr_1_2_sspa?ie=UTF8&amp;qid=1544518629&amp;sr=8-2-spons&amp;keywords=face+paint&amp;psc=1" TargetMode="External"/><Relationship Id="rId28" Type="http://schemas.openxmlformats.org/officeDocument/2006/relationships/hyperlink" Target="http://www.amazon.de/gp/product/B07GV6GRW2" TargetMode="External"/><Relationship Id="rId36" Type="http://schemas.openxmlformats.org/officeDocument/2006/relationships/hyperlink" Target="https://www.amazon.co.uk/Shoulder-Adjustable-Dislocated-Neoprene-Recovery/dp/B071ZSCC9C/ref=sr_1_2_sspa?s=sports&amp;ie=UTF8&amp;qid=1534730807&amp;sr=1-2-spons&amp;keywords=Shoulder+Support+Brace+Strap&amp;psc=1" TargetMode="External"/><Relationship Id="rId49" Type="http://schemas.openxmlformats.org/officeDocument/2006/relationships/hyperlink" Target="https://www.amazon.it/Alleviare-Traspirante-Epicondilite-Indolenzimento-Muscolaredel/dp/B07BYSZ2VK/ref=pd_sbs_364_30?_encoding=UTF8&amp;psc=1&amp;refRID=KYHRDCQ3W7GRTYKSAJAN" TargetMode="External"/><Relationship Id="rId57" Type="http://schemas.openxmlformats.org/officeDocument/2006/relationships/hyperlink" Target="https://www.amazon.de/iZoeL-Korrektur-Hammerzeh-Korrekturschiene-Ballenschutz/dp/B071113X92/ref=sr_1_11?ie=UTF8&amp;qid=1522315918&amp;sr=8-11&amp;keywords=Bunion+Korrektur+Hallux+Valgus" TargetMode="External"/><Relationship Id="rId10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31" Type="http://schemas.openxmlformats.org/officeDocument/2006/relationships/hyperlink" Target="https://www.amazon.de/Anpro-Extruder-Drucker-Messing-Druckk%C3%B6pfe/dp/B07BMPWZHZ/ref=sr_1_115?ie=UTF8&amp;qid=1544192067&amp;sr=8-115&amp;keywords=Anpro" TargetMode="External"/><Relationship Id="rId44" Type="http://schemas.openxmlformats.org/officeDocument/2006/relationships/hyperlink" Target="https://www.amazon.es/piezas-Tienda-Tornillo-prueba-Accesorio/dp/B07BP11XVL/ref=sr_1_cc_2?s=aps&amp;ie=UTF8&amp;qid=1525487146&amp;sr=1-2-catcorr&amp;keywords=Clip+a+prueba+de+viento+de+la+tienda" TargetMode="External"/><Relationship Id="rId52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60" Type="http://schemas.openxmlformats.org/officeDocument/2006/relationships/hyperlink" Target="https://www.amazon.com/KROWNER-Mini-Humidifier-Office-Charge/dp/B07B3QDCMX/ref=sr_1_7?ie=UTF8&amp;qid=1544433404&amp;sr=8-7&amp;keywords=USB+mini+light+humidifier+dark+brown" TargetMode="External"/><Relationship Id="rId65" Type="http://schemas.openxmlformats.org/officeDocument/2006/relationships/hyperlink" Target="https://www.amazon.it/gp/product/B0778FYT5S" TargetMode="External"/><Relationship Id="rId73" Type="http://schemas.openxmlformats.org/officeDocument/2006/relationships/hyperlink" Target="https://www.amazon.es/LUXJET-iluminaci%C3%B3n-regulable-infantiles-escritorio/dp/B075MWWGWD/ref=pd_sbs_201_4?_encoding=UTF8&amp;psc=1&amp;refRID=FDVE0JHBGF7NQY82RQX1" TargetMode="External"/><Relationship Id="rId78" Type="http://schemas.openxmlformats.org/officeDocument/2006/relationships/hyperlink" Target="https://www.amazon.it/Venkaite-Runner-matrimonio-Festival-Decorazione/dp/B06XTQ8869/ref=sr_1_5?s=toys&amp;ie=UTF8&amp;qid=1525923784&amp;sr=1-5&amp;keywords=Runner" TargetMode="External"/><Relationship Id="rId81" Type="http://schemas.openxmlformats.org/officeDocument/2006/relationships/drawing" Target="../drawings/drawing4.xml"/><Relationship Id="rId4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9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3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8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39" Type="http://schemas.openxmlformats.org/officeDocument/2006/relationships/hyperlink" Target="https://www.amazon.co.uk/Jia-Inc-Universal-Pushchair-Diamteter/dp/B076KKXDYC/ref=pd_day0_c_75_27?_encoding=UTF8&amp;pd_rd_i=B076KJPDML&amp;pd_rd_r=31c8467f-e649-11e8-84c2-9b8c2383eeea&amp;pd_rd_w=eIP2p&amp;pd_rd_wg=6" TargetMode="External"/><Relationship Id="rId34" Type="http://schemas.openxmlformats.org/officeDocument/2006/relationships/hyperlink" Target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TargetMode="External"/><Relationship Id="rId50" Type="http://schemas.openxmlformats.org/officeDocument/2006/relationships/hyperlink" Target="https://www.amazon.de/Fingerschiene-Gegenst%C3%BCtze-tenosynovity-verstellbare-innovativen/dp/B077MJY3HD/ref=sr_1_3?ie=UTF8&amp;qid=1525937723&amp;sr=8-3&amp;keywords=verstellbar+Fingerschiene+Brace" TargetMode="External"/><Relationship Id="rId55" Type="http://schemas.openxmlformats.org/officeDocument/2006/relationships/hyperlink" Target="https://www.amazon.co.uk/dp/B01NBA7W27" TargetMode="External"/><Relationship Id="rId76" Type="http://schemas.openxmlformats.org/officeDocument/2006/relationships/hyperlink" Target="https://www.amazon.co.uk/Multi-Kinetic-Agitator-Plastic-Beater/dp/B07F7QZ68L/ref=sr_1_14?ie=UTF8&amp;qid=1544623900&amp;sr=8-14&amp;keywords=Agitator" TargetMode="External"/><Relationship Id="rId7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71" Type="http://schemas.openxmlformats.org/officeDocument/2006/relationships/hyperlink" Target="https://www.amazon.co.uk/Hamimelon-Aluminium-Mountain-Bicycle-Handlebar/dp/B074GRHRVK/ref=sr_1_3?ie=UTF8&amp;qid=1544623774&amp;sr=8-3&amp;keywords=handlebar" TargetMode="External"/><Relationship Id="rId2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29" Type="http://schemas.openxmlformats.org/officeDocument/2006/relationships/hyperlink" Target="https://www.amazon.de/Anpro-S%C3%BC%C3%9Figkeitent%C3%BCten-Bindestreifen-transparente-Verpackung/dp/B075V1Z57N/ref=sr_1_23?ie=UTF8&amp;qid=1544191877&amp;sr=8-23&amp;keywords=Anpro" TargetMode="External"/><Relationship Id="rId24" Type="http://schemas.openxmlformats.org/officeDocument/2006/relationships/hyperlink" Target="https://www.amazon.es/protector-slipcover-el%C3%A1stico-plegable-cubierta/dp/B076KRXN27/ref=sr_1_2?s=kitchen&amp;ie=UTF8&amp;qid=1525778100&amp;sr=1-2&amp;keywords=Cubierta+del+sof%C3%A1+el%C3%A1stico" TargetMode="External"/><Relationship Id="rId40" Type="http://schemas.openxmlformats.org/officeDocument/2006/relationships/hyperlink" Target="https://www.amazon.it/dp/B078RLT6KY/ref=sspa_dk_detail_1?psc=1" TargetMode="External"/><Relationship Id="rId45" Type="http://schemas.openxmlformats.org/officeDocument/2006/relationships/hyperlink" Target="https://www.amazon.it/plastica-trasparente-alimentari-Contenitori-dimensione/dp/B06X186CRX/ref=pd_sbs_201_3?_encoding=UTF8&amp;pd_rd_i=B06X186CRX&amp;pd_rd_r=77d14396-5f2d-11e8-a6b6-e9dc1ff8f7d6&amp;pd_rd_w=yo8JH" TargetMode="External"/><Relationship Id="rId66" Type="http://schemas.openxmlformats.org/officeDocument/2006/relationships/hyperlink" Target="https://www.amazon.it/dp/B07F7ZXM8M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mazon.co.uk/dp/B074N1RL61" TargetMode="External"/><Relationship Id="rId21" Type="http://schemas.openxmlformats.org/officeDocument/2006/relationships/hyperlink" Target="https://www.amazon.de/dp/B076MP45KL" TargetMode="External"/><Relationship Id="rId42" Type="http://schemas.openxmlformats.org/officeDocument/2006/relationships/hyperlink" Target="https://www.amazon.es/dp/B07KG72Z3Q" TargetMode="External"/><Relationship Id="rId47" Type="http://schemas.openxmlformats.org/officeDocument/2006/relationships/hyperlink" Target="https://www.amazon.com/Hacloser-Electric-Clippers-Manicure-Scissors/dp/B078MHB3G3/ref=sr_1_8_a_it?ie=UTF8&amp;qid=1544433667&amp;sr=8-8&amp;keywords=Electric+baby+nail+scissors+nail+polisher" TargetMode="External"/><Relationship Id="rId63" Type="http://schemas.openxmlformats.org/officeDocument/2006/relationships/hyperlink" Target="https://www.amazon.es/dp/B07HB4RX6C" TargetMode="External"/><Relationship Id="rId68" Type="http://schemas.openxmlformats.org/officeDocument/2006/relationships/hyperlink" Target="https://www.amazon.it/dp/B07DBWK9LT" TargetMode="External"/><Relationship Id="rId16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1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4" Type="http://schemas.openxmlformats.org/officeDocument/2006/relationships/hyperlink" Target="https://www.amazon.es/protector-slipcover-el%C3%A1stico-plegable-cubierta/dp/B076KRXN27/ref=sr_1_2?s=kitchen&amp;ie=UTF8&amp;qid=1525778100&amp;sr=1-2&amp;keywords=Cubierta+del+sof%C3%A1+el%C3%A1stico" TargetMode="External"/><Relationship Id="rId32" Type="http://schemas.openxmlformats.org/officeDocument/2006/relationships/hyperlink" Target="https://www.amazon.de/gp/slredirect/picassoRedirect.html/ref=sspa_dk_detail_3?ie=UTF8&amp;adId=A10423032WO6ZUL9WOY66&amp;qualifier=1525491465&amp;id=7321720462760423&amp;widgetName=sp_detail&amp;url=%2Fdp%2FB074GT3DCK%2F" TargetMode="External"/><Relationship Id="rId37" Type="http://schemas.openxmlformats.org/officeDocument/2006/relationships/hyperlink" Target="https://www.amazon.com/Retainer-Plastic-Fasteners-YYINGG-Chrysler/dp/B07CWVP2N7/ref=sr_1_2?ie=UTF8&amp;qid=1544433428&amp;sr=8-2&amp;keywords=Car+lining+buckle" TargetMode="External"/><Relationship Id="rId40" Type="http://schemas.openxmlformats.org/officeDocument/2006/relationships/hyperlink" Target="https://www.amazon.it/dp/B078RLT6KY/ref=sspa_dk_detail_1?psc=1" TargetMode="External"/><Relationship Id="rId45" Type="http://schemas.openxmlformats.org/officeDocument/2006/relationships/hyperlink" Target="https://www.amazon.it/plastica-trasparente-alimentari-Contenitori-dimensione/dp/B06X186CRX/ref=pd_sbs_201_3?_encoding=UTF8&amp;pd_rd_i=B06X186CRX&amp;pd_rd_r=77d14396-5f2d-11e8-a6b6-e9dc1ff8f7d6&amp;pd_rd_w=yo8JH" TargetMode="External"/><Relationship Id="rId53" Type="http://schemas.openxmlformats.org/officeDocument/2006/relationships/hyperlink" Target="https://es.aliexpress.com/store/product/Stainless-Steel-Wall-Hanger-Retractable-Indoor-Clothes-Hanger-Magic-Foldable-Drying-Rack-Waterproof-Clothes-Towel-Rack/1504995_32706428681.html?spm=2114.12010615.0.0.450737453uH8W5" TargetMode="External"/><Relationship Id="rId58" Type="http://schemas.openxmlformats.org/officeDocument/2006/relationships/hyperlink" Target="https://www.amazon.it/Supporto-Braccio-Bambino-dellAvambraccio-Immobilizzatore/dp/B077NWPH8P/ref=pd_sbs_121_9?_encoding=UTF8&amp;psc=1&amp;refRID=M58G7JN0RBSFHJ091Q9D" TargetMode="External"/><Relationship Id="rId66" Type="http://schemas.openxmlformats.org/officeDocument/2006/relationships/hyperlink" Target="https://www.amazon.it/dp/B07F7ZXM8M" TargetMode="External"/><Relationship Id="rId74" Type="http://schemas.openxmlformats.org/officeDocument/2006/relationships/hyperlink" Target="https://www.amazon.co.uk/Eyelash-Crystal-Spoolie-Cosmetic-Applicator/dp/B07G9C1WPN/ref=sr_1_13_a_it?ie=UTF8&amp;qid=1544623837&amp;sr=8-13&amp;keywords=Eyelash+brush" TargetMode="External"/><Relationship Id="rId79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5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1" Type="http://schemas.openxmlformats.org/officeDocument/2006/relationships/hyperlink" Target="https://www.amazon.es/dp/B07F7ZS9W8" TargetMode="External"/><Relationship Id="rId19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14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2" Type="http://schemas.openxmlformats.org/officeDocument/2006/relationships/hyperlink" Target="https://www.amazon.co.uk/Professional-Kitchen-Blowtorch-Cooking-Welding/dp/B075688X7X/ref=zg_bs_11713221_23?_encoding=UTF8&amp;refRID=YSNHSZ6Z78MKAGYXC94J" TargetMode="External"/><Relationship Id="rId27" Type="http://schemas.openxmlformats.org/officeDocument/2006/relationships/hyperlink" Target="https://www.amazon.co.uk/HUAANIUE-Sparkles-Camisole-Gymnastics-Costumes/dp/B07J9PXVHS/ref=lp_14764999031_1_11?srs=14764999031&amp;ie=UTF8&amp;qid=1543568234&amp;sr=8-11" TargetMode="External"/><Relationship Id="rId30" Type="http://schemas.openxmlformats.org/officeDocument/2006/relationships/hyperlink" Target="https://www.amazon.de/dp/B07CHJ239X" TargetMode="External"/><Relationship Id="rId35" Type="http://schemas.openxmlformats.org/officeDocument/2006/relationships/hyperlink" Target="https://www.amazon.com/Taekwondo-Durable-Target-Kickboxing-Training-Red/dp/B06Y2WR1LK/ref=sr_1_fkmr0_1?s=sporting-goods&amp;ie=UTF8&amp;qid=1543916289&amp;sr=1-1-fkmr0&amp;keywords=Taekwondo+curved+double-leaf+target" TargetMode="External"/><Relationship Id="rId43" Type="http://schemas.openxmlformats.org/officeDocument/2006/relationships/hyperlink" Target="https://www.amazon.es/dp/B07H5D31CV" TargetMode="External"/><Relationship Id="rId48" Type="http://schemas.openxmlformats.org/officeDocument/2006/relationships/hyperlink" Target="https://www.amazon.de/dp/B077GQBJG4/ref=sspa_dk_detail_4?psc=1" TargetMode="External"/><Relationship Id="rId56" Type="http://schemas.openxmlformats.org/officeDocument/2006/relationships/hyperlink" Target="https://www.amazon.it/Antiscivolo-Regolabile-Gomitiera-Pallacanestro-Riabilitazione/dp/B071FZW5CG/ref=pd_cp_200_1?_encoding=UTF8&amp;psc=1&amp;refRID=TJSYKHHVZ1KJF8CCJJG4" TargetMode="External"/><Relationship Id="rId64" Type="http://schemas.openxmlformats.org/officeDocument/2006/relationships/hyperlink" Target="https://www.amazon.es/dp/B07K8MG51W" TargetMode="External"/><Relationship Id="rId69" Type="http://schemas.openxmlformats.org/officeDocument/2006/relationships/hyperlink" Target="https://www.amazon.co.uk/KKmoon-WQE9112418240704NL-Speed-Insert-Replacement/dp/B01LVTWO97/ref=pd_sbs_263_2?_encoding=UTF8&amp;pd_rd_i=B01LVTWO97&amp;pd_rd_r=9adbef92-e65a-11e8-ac8a-91802bc767b5&amp;pd_rd_w=k3YXm&amp;" TargetMode="External"/><Relationship Id="rId77" Type="http://schemas.openxmlformats.org/officeDocument/2006/relationships/hyperlink" Target="https://www.amazon.fr/ZJchao-%C3%A9lastique-tactique-pistolet-munitions/dp/B01FM09IHS/ref=pd_sim_200_1?_encoding=UTF8&amp;psc=1&amp;refRID=55Q4EKYSH04GHJTAN64G" TargetMode="External"/><Relationship Id="rId8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51" Type="http://schemas.openxmlformats.org/officeDocument/2006/relationships/hyperlink" Target="https://www.amazon.com/Extractor-Tool-TIMLand-Professional-Blackheads-Double-ended/dp/B07FNSD8NG/ref=sr_1_5?ie=UTF8&amp;qid=1544433654&amp;sr=8-5&amp;keywords=Stainless+steel+acne+needle+set+acne+pick+acne+needle+acne+needle+7+sets" TargetMode="External"/><Relationship Id="rId72" Type="http://schemas.openxmlformats.org/officeDocument/2006/relationships/hyperlink" Target="https://www.amazon.de/dp/B01N6A8MBH" TargetMode="External"/><Relationship Id="rId80" Type="http://schemas.openxmlformats.org/officeDocument/2006/relationships/drawing" Target="../drawings/drawing5.xml"/><Relationship Id="rId3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2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7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5" Type="http://schemas.openxmlformats.org/officeDocument/2006/relationships/hyperlink" Target="https://www.amazon.it/WINOMO-Copridivano-Copertine-Elasticit%C3%A0-Protezione/dp/B075J9BM67/ref=pd_sbs_86_1?_encoding=UTF8&amp;psc=1&amp;refRID=53BJPGS1NB6266WPXFG7" TargetMode="External"/><Relationship Id="rId33" Type="http://schemas.openxmlformats.org/officeDocument/2006/relationships/hyperlink" Target="https://www.amazon.com/Camouflage-Tactical-Protective-Seamless-N-strike/dp/B01M5D1BIO/ref=sr_1_2?ie=UTF8&amp;qid=1544433617&amp;sr=8-2&amp;keywords=Camouflage+tactical+vest+soft+bullet+tactical+equipment+set" TargetMode="External"/><Relationship Id="rId38" Type="http://schemas.openxmlformats.org/officeDocument/2006/relationships/hyperlink" Target="https://www.amazon.fr/dp/B01N5QCX4U/ref=sspa_dk_detail_0?psc=1" TargetMode="External"/><Relationship Id="rId46" Type="http://schemas.openxmlformats.org/officeDocument/2006/relationships/hyperlink" Target="https://www.ebay.com/itm/Multi-function-Kitchen-Storage-Rack-Cupboard-Hanging-Hook-Hanger-Sundries-Holder-/202254071245?oid=252810675055" TargetMode="External"/><Relationship Id="rId59" Type="http://schemas.openxmlformats.org/officeDocument/2006/relationships/hyperlink" Target="https://www.amazon.es/Montar-Prueba-Viento-Caliente-m%C3%A1scara/dp/B07KSV7RLB/ref=sr_1_7?s=electronics&amp;ie=UTF8&amp;qid=1544150815&amp;sr=1-7&amp;keywords=Outdoor+riding+mask" TargetMode="External"/><Relationship Id="rId67" Type="http://schemas.openxmlformats.org/officeDocument/2006/relationships/hyperlink" Target="https://www.amazon.es/gp/product/B07BHN83BW" TargetMode="External"/><Relationship Id="rId20" Type="http://schemas.openxmlformats.org/officeDocument/2006/relationships/hyperlink" Target="https://www.amazon.co.uk/dp/B079HN3F1D" TargetMode="External"/><Relationship Id="rId41" Type="http://schemas.openxmlformats.org/officeDocument/2006/relationships/hyperlink" Target="https://www.amazon.es/dp/B07K3WP6V9" TargetMode="External"/><Relationship Id="rId54" Type="http://schemas.openxmlformats.org/officeDocument/2006/relationships/hyperlink" Target="https://www.amazon.de/Docht-%C3%96llampe-Ollampe-Lampendocht-36PC/dp/B071J5FLD6/ref=sr_1_fkmr2_2?ie=UTF8&amp;qid=1525487128&amp;sr=8-2-fkmr2&amp;keywords=Hitzebest%C3%A4ndige+%C3%96llampe+Docht" TargetMode="External"/><Relationship Id="rId62" Type="http://schemas.openxmlformats.org/officeDocument/2006/relationships/hyperlink" Target="https://www.amazon.es/dp/B07JFH9HZH" TargetMode="External"/><Relationship Id="rId70" Type="http://schemas.openxmlformats.org/officeDocument/2006/relationships/hyperlink" Target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TargetMode="External"/><Relationship Id="rId75" Type="http://schemas.openxmlformats.org/officeDocument/2006/relationships/hyperlink" Target="https://www.amazon.co.uk/Handled-Shoehorn-Stainless-Hanging-Handmade/dp/B078WLR4SF/ref=sr_1_14?ie=UTF8&amp;qid=1544623865&amp;sr=8-14&amp;keywords=Shoehorn" TargetMode="External"/><Relationship Id="rId1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5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3" Type="http://schemas.openxmlformats.org/officeDocument/2006/relationships/hyperlink" Target="https://www.amazon.co.uk/JOYIN-Non-Toxic-Ultimate-including-METALLIC/dp/B075FH22G4/ref=sr_1_2_sspa?ie=UTF8&amp;qid=1544518629&amp;sr=8-2-spons&amp;keywords=face+paint&amp;psc=1" TargetMode="External"/><Relationship Id="rId28" Type="http://schemas.openxmlformats.org/officeDocument/2006/relationships/hyperlink" Target="http://www.amazon.de/gp/product/B07GV6GRW2" TargetMode="External"/><Relationship Id="rId36" Type="http://schemas.openxmlformats.org/officeDocument/2006/relationships/hyperlink" Target="https://www.amazon.co.uk/Shoulder-Adjustable-Dislocated-Neoprene-Recovery/dp/B071ZSCC9C/ref=sr_1_2_sspa?s=sports&amp;ie=UTF8&amp;qid=1534730807&amp;sr=1-2-spons&amp;keywords=Shoulder+Support+Brace+Strap&amp;psc=1" TargetMode="External"/><Relationship Id="rId49" Type="http://schemas.openxmlformats.org/officeDocument/2006/relationships/hyperlink" Target="https://www.amazon.it/Alleviare-Traspirante-Epicondilite-Indolenzimento-Muscolaredel/dp/B07BYSZ2VK/ref=pd_sbs_364_30?_encoding=UTF8&amp;psc=1&amp;refRID=KYHRDCQ3W7GRTYKSAJAN" TargetMode="External"/><Relationship Id="rId57" Type="http://schemas.openxmlformats.org/officeDocument/2006/relationships/hyperlink" Target="https://www.amazon.de/iZoeL-Korrektur-Hammerzeh-Korrekturschiene-Ballenschutz/dp/B071113X92/ref=sr_1_11?ie=UTF8&amp;qid=1522315918&amp;sr=8-11&amp;keywords=Bunion+Korrektur+Hallux+Valgus" TargetMode="External"/><Relationship Id="rId10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31" Type="http://schemas.openxmlformats.org/officeDocument/2006/relationships/hyperlink" Target="https://www.amazon.de/Anpro-Extruder-Drucker-Messing-Druckk%C3%B6pfe/dp/B07BMPWZHZ/ref=sr_1_115?ie=UTF8&amp;qid=1544192067&amp;sr=8-115&amp;keywords=Anpro" TargetMode="External"/><Relationship Id="rId44" Type="http://schemas.openxmlformats.org/officeDocument/2006/relationships/hyperlink" Target="https://www.amazon.es/piezas-Tienda-Tornillo-prueba-Accesorio/dp/B07BP11XVL/ref=sr_1_cc_2?s=aps&amp;ie=UTF8&amp;qid=1525487146&amp;sr=1-2-catcorr&amp;keywords=Clip+a+prueba+de+viento+de+la+tienda" TargetMode="External"/><Relationship Id="rId52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60" Type="http://schemas.openxmlformats.org/officeDocument/2006/relationships/hyperlink" Target="https://www.amazon.com/KROWNER-Mini-Humidifier-Office-Charge/dp/B07B3QDCMX/ref=sr_1_7?ie=UTF8&amp;qid=1544433404&amp;sr=8-7&amp;keywords=USB+mini+light+humidifier+dark+brown" TargetMode="External"/><Relationship Id="rId65" Type="http://schemas.openxmlformats.org/officeDocument/2006/relationships/hyperlink" Target="https://www.amazon.it/gp/product/B0778FYT5S" TargetMode="External"/><Relationship Id="rId73" Type="http://schemas.openxmlformats.org/officeDocument/2006/relationships/hyperlink" Target="https://www.amazon.es/LUXJET-iluminaci%C3%B3n-regulable-infantiles-escritorio/dp/B075MWWGWD/ref=pd_sbs_201_4?_encoding=UTF8&amp;psc=1&amp;refRID=FDVE0JHBGF7NQY82RQX1" TargetMode="External"/><Relationship Id="rId78" Type="http://schemas.openxmlformats.org/officeDocument/2006/relationships/hyperlink" Target="https://www.amazon.it/Venkaite-Runner-matrimonio-Festival-Decorazione/dp/B06XTQ8869/ref=sr_1_5?s=toys&amp;ie=UTF8&amp;qid=1525923784&amp;sr=1-5&amp;keywords=Runner" TargetMode="External"/><Relationship Id="rId4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9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3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8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39" Type="http://schemas.openxmlformats.org/officeDocument/2006/relationships/hyperlink" Target="https://www.amazon.co.uk/Jia-Inc-Universal-Pushchair-Diamteter/dp/B076KKXDYC/ref=pd_day0_c_75_27?_encoding=UTF8&amp;pd_rd_i=B076KJPDML&amp;pd_rd_r=31c8467f-e649-11e8-84c2-9b8c2383eeea&amp;pd_rd_w=eIP2p&amp;pd_rd_wg=6" TargetMode="External"/><Relationship Id="rId34" Type="http://schemas.openxmlformats.org/officeDocument/2006/relationships/hyperlink" Target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TargetMode="External"/><Relationship Id="rId50" Type="http://schemas.openxmlformats.org/officeDocument/2006/relationships/hyperlink" Target="https://www.amazon.de/Fingerschiene-Gegenst%C3%BCtze-tenosynovity-verstellbare-innovativen/dp/B077MJY3HD/ref=sr_1_3?ie=UTF8&amp;qid=1525937723&amp;sr=8-3&amp;keywords=verstellbar+Fingerschiene+Brace" TargetMode="External"/><Relationship Id="rId55" Type="http://schemas.openxmlformats.org/officeDocument/2006/relationships/hyperlink" Target="https://www.amazon.co.uk/dp/B01NBA7W27" TargetMode="External"/><Relationship Id="rId76" Type="http://schemas.openxmlformats.org/officeDocument/2006/relationships/hyperlink" Target="https://www.amazon.co.uk/Multi-Kinetic-Agitator-Plastic-Beater/dp/B07F7QZ68L/ref=sr_1_14?ie=UTF8&amp;qid=1544623900&amp;sr=8-14&amp;keywords=Agitator" TargetMode="External"/><Relationship Id="rId7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71" Type="http://schemas.openxmlformats.org/officeDocument/2006/relationships/hyperlink" Target="https://www.amazon.co.uk/Hamimelon-Aluminium-Mountain-Bicycle-Handlebar/dp/B074GRHRVK/ref=sr_1_3?ie=UTF8&amp;qid=1544623774&amp;sr=8-3&amp;keywords=handlebar" TargetMode="External"/><Relationship Id="rId2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29" Type="http://schemas.openxmlformats.org/officeDocument/2006/relationships/hyperlink" Target="https://www.amazon.de/Anpro-S%C3%BC%C3%9Figkeitent%C3%BCten-Bindestreifen-transparente-Verpackung/dp/B075V1Z57N/ref=sr_1_23?ie=UTF8&amp;qid=1544191877&amp;sr=8-23&amp;keywords=Anpro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mazon.co.uk/dp/B074N1RL61" TargetMode="External"/><Relationship Id="rId21" Type="http://schemas.openxmlformats.org/officeDocument/2006/relationships/hyperlink" Target="https://www.amazon.de/dp/B076MP45KL" TargetMode="External"/><Relationship Id="rId42" Type="http://schemas.openxmlformats.org/officeDocument/2006/relationships/hyperlink" Target="https://www.amazon.es/dp/B07KG72Z3Q" TargetMode="External"/><Relationship Id="rId47" Type="http://schemas.openxmlformats.org/officeDocument/2006/relationships/hyperlink" Target="https://www.amazon.com/Hacloser-Electric-Clippers-Manicure-Scissors/dp/B078MHB3G3/ref=sr_1_8_a_it?ie=UTF8&amp;qid=1544433667&amp;sr=8-8&amp;keywords=Electric+baby+nail+scissors+nail+polisher" TargetMode="External"/><Relationship Id="rId63" Type="http://schemas.openxmlformats.org/officeDocument/2006/relationships/hyperlink" Target="https://www.amazon.es/dp/B07HB4RX6C" TargetMode="External"/><Relationship Id="rId68" Type="http://schemas.openxmlformats.org/officeDocument/2006/relationships/hyperlink" Target="https://www.amazon.it/dp/B07DBWK9LT" TargetMode="External"/><Relationship Id="rId16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1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4" Type="http://schemas.openxmlformats.org/officeDocument/2006/relationships/hyperlink" Target="https://www.amazon.es/protector-slipcover-el%C3%A1stico-plegable-cubierta/dp/B076KRXN27/ref=sr_1_2?s=kitchen&amp;ie=UTF8&amp;qid=1525778100&amp;sr=1-2&amp;keywords=Cubierta+del+sof%C3%A1+el%C3%A1stico" TargetMode="External"/><Relationship Id="rId32" Type="http://schemas.openxmlformats.org/officeDocument/2006/relationships/hyperlink" Target="https://www.amazon.de/gp/slredirect/picassoRedirect.html/ref=sspa_dk_detail_3?ie=UTF8&amp;adId=A10423032WO6ZUL9WOY66&amp;qualifier=1525491465&amp;id=7321720462760423&amp;widgetName=sp_detail&amp;url=%2Fdp%2FB074GT3DCK%2F" TargetMode="External"/><Relationship Id="rId37" Type="http://schemas.openxmlformats.org/officeDocument/2006/relationships/hyperlink" Target="https://www.amazon.com/Retainer-Plastic-Fasteners-YYINGG-Chrysler/dp/B07CWVP2N7/ref=sr_1_2?ie=UTF8&amp;qid=1544433428&amp;sr=8-2&amp;keywords=Car+lining+buckle" TargetMode="External"/><Relationship Id="rId40" Type="http://schemas.openxmlformats.org/officeDocument/2006/relationships/hyperlink" Target="https://www.amazon.it/dp/B078RLT6KY/ref=sspa_dk_detail_1?psc=1" TargetMode="External"/><Relationship Id="rId45" Type="http://schemas.openxmlformats.org/officeDocument/2006/relationships/hyperlink" Target="https://www.amazon.it/plastica-trasparente-alimentari-Contenitori-dimensione/dp/B06X186CRX/ref=pd_sbs_201_3?_encoding=UTF8&amp;pd_rd_i=B06X186CRX&amp;pd_rd_r=77d14396-5f2d-11e8-a6b6-e9dc1ff8f7d6&amp;pd_rd_w=yo8JH" TargetMode="External"/><Relationship Id="rId53" Type="http://schemas.openxmlformats.org/officeDocument/2006/relationships/hyperlink" Target="https://es.aliexpress.com/store/product/Stainless-Steel-Wall-Hanger-Retractable-Indoor-Clothes-Hanger-Magic-Foldable-Drying-Rack-Waterproof-Clothes-Towel-Rack/1504995_32706428681.html?spm=2114.12010615.0.0.450737453uH8W5" TargetMode="External"/><Relationship Id="rId58" Type="http://schemas.openxmlformats.org/officeDocument/2006/relationships/hyperlink" Target="https://www.amazon.it/Supporto-Braccio-Bambino-dellAvambraccio-Immobilizzatore/dp/B077NWPH8P/ref=pd_sbs_121_9?_encoding=UTF8&amp;psc=1&amp;refRID=M58G7JN0RBSFHJ091Q9D" TargetMode="External"/><Relationship Id="rId66" Type="http://schemas.openxmlformats.org/officeDocument/2006/relationships/hyperlink" Target="https://www.amazon.it/dp/B07F7ZXM8M" TargetMode="External"/><Relationship Id="rId74" Type="http://schemas.openxmlformats.org/officeDocument/2006/relationships/hyperlink" Target="https://www.amazon.co.uk/Eyelash-Crystal-Spoolie-Cosmetic-Applicator/dp/B07G9C1WPN/ref=sr_1_13_a_it?ie=UTF8&amp;qid=1544623837&amp;sr=8-13&amp;keywords=Eyelash+brush" TargetMode="External"/><Relationship Id="rId79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5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1" Type="http://schemas.openxmlformats.org/officeDocument/2006/relationships/hyperlink" Target="https://www.amazon.es/dp/B07F7ZS9W8" TargetMode="External"/><Relationship Id="rId19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14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2" Type="http://schemas.openxmlformats.org/officeDocument/2006/relationships/hyperlink" Target="https://www.amazon.co.uk/Professional-Kitchen-Blowtorch-Cooking-Welding/dp/B075688X7X/ref=zg_bs_11713221_23?_encoding=UTF8&amp;refRID=YSNHSZ6Z78MKAGYXC94J" TargetMode="External"/><Relationship Id="rId27" Type="http://schemas.openxmlformats.org/officeDocument/2006/relationships/hyperlink" Target="https://www.amazon.co.uk/HUAANIUE-Sparkles-Camisole-Gymnastics-Costumes/dp/B07J9PXVHS/ref=lp_14764999031_1_11?srs=14764999031&amp;ie=UTF8&amp;qid=1543568234&amp;sr=8-11" TargetMode="External"/><Relationship Id="rId30" Type="http://schemas.openxmlformats.org/officeDocument/2006/relationships/hyperlink" Target="https://www.amazon.de/dp/B07CHJ239X" TargetMode="External"/><Relationship Id="rId35" Type="http://schemas.openxmlformats.org/officeDocument/2006/relationships/hyperlink" Target="https://www.amazon.com/Taekwondo-Durable-Target-Kickboxing-Training-Red/dp/B06Y2WR1LK/ref=sr_1_fkmr0_1?s=sporting-goods&amp;ie=UTF8&amp;qid=1543916289&amp;sr=1-1-fkmr0&amp;keywords=Taekwondo+curved+double-leaf+target" TargetMode="External"/><Relationship Id="rId43" Type="http://schemas.openxmlformats.org/officeDocument/2006/relationships/hyperlink" Target="https://www.amazon.es/dp/B07H5D31CV" TargetMode="External"/><Relationship Id="rId48" Type="http://schemas.openxmlformats.org/officeDocument/2006/relationships/hyperlink" Target="https://www.amazon.de/dp/B077GQBJG4/ref=sspa_dk_detail_4?psc=1" TargetMode="External"/><Relationship Id="rId56" Type="http://schemas.openxmlformats.org/officeDocument/2006/relationships/hyperlink" Target="https://www.amazon.it/Antiscivolo-Regolabile-Gomitiera-Pallacanestro-Riabilitazione/dp/B071FZW5CG/ref=pd_cp_200_1?_encoding=UTF8&amp;psc=1&amp;refRID=TJSYKHHVZ1KJF8CCJJG4" TargetMode="External"/><Relationship Id="rId64" Type="http://schemas.openxmlformats.org/officeDocument/2006/relationships/hyperlink" Target="https://www.amazon.es/dp/B07K8MG51W" TargetMode="External"/><Relationship Id="rId69" Type="http://schemas.openxmlformats.org/officeDocument/2006/relationships/hyperlink" Target="https://www.amazon.co.uk/KKmoon-WQE9112418240704NL-Speed-Insert-Replacement/dp/B01LVTWO97/ref=pd_sbs_263_2?_encoding=UTF8&amp;pd_rd_i=B01LVTWO97&amp;pd_rd_r=9adbef92-e65a-11e8-ac8a-91802bc767b5&amp;pd_rd_w=k3YXm&amp;" TargetMode="External"/><Relationship Id="rId77" Type="http://schemas.openxmlformats.org/officeDocument/2006/relationships/hyperlink" Target="https://www.amazon.fr/ZJchao-%C3%A9lastique-tactique-pistolet-munitions/dp/B01FM09IHS/ref=pd_sim_200_1?_encoding=UTF8&amp;psc=1&amp;refRID=55Q4EKYSH04GHJTAN64G" TargetMode="External"/><Relationship Id="rId8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51" Type="http://schemas.openxmlformats.org/officeDocument/2006/relationships/hyperlink" Target="https://www.amazon.com/Extractor-Tool-TIMLand-Professional-Blackheads-Double-ended/dp/B07FNSD8NG/ref=sr_1_5?ie=UTF8&amp;qid=1544433654&amp;sr=8-5&amp;keywords=Stainless+steel+acne+needle+set+acne+pick+acne+needle+acne+needle+7+sets" TargetMode="External"/><Relationship Id="rId72" Type="http://schemas.openxmlformats.org/officeDocument/2006/relationships/hyperlink" Target="https://www.amazon.de/dp/B01N6A8MBH" TargetMode="External"/><Relationship Id="rId80" Type="http://schemas.openxmlformats.org/officeDocument/2006/relationships/drawing" Target="../drawings/drawing6.xml"/><Relationship Id="rId3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2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7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5" Type="http://schemas.openxmlformats.org/officeDocument/2006/relationships/hyperlink" Target="https://www.amazon.it/WINOMO-Copridivano-Copertine-Elasticit%C3%A0-Protezione/dp/B075J9BM67/ref=pd_sbs_86_1?_encoding=UTF8&amp;psc=1&amp;refRID=53BJPGS1NB6266WPXFG7" TargetMode="External"/><Relationship Id="rId33" Type="http://schemas.openxmlformats.org/officeDocument/2006/relationships/hyperlink" Target="https://www.amazon.com/Camouflage-Tactical-Protective-Seamless-N-strike/dp/B01M5D1BIO/ref=sr_1_2?ie=UTF8&amp;qid=1544433617&amp;sr=8-2&amp;keywords=Camouflage+tactical+vest+soft+bullet+tactical+equipment+set" TargetMode="External"/><Relationship Id="rId38" Type="http://schemas.openxmlformats.org/officeDocument/2006/relationships/hyperlink" Target="https://www.amazon.fr/dp/B01N5QCX4U/ref=sspa_dk_detail_0?psc=1" TargetMode="External"/><Relationship Id="rId46" Type="http://schemas.openxmlformats.org/officeDocument/2006/relationships/hyperlink" Target="https://www.ebay.com/itm/Multi-function-Kitchen-Storage-Rack-Cupboard-Hanging-Hook-Hanger-Sundries-Holder-/202254071245?oid=252810675055" TargetMode="External"/><Relationship Id="rId59" Type="http://schemas.openxmlformats.org/officeDocument/2006/relationships/hyperlink" Target="https://www.amazon.es/Montar-Prueba-Viento-Caliente-m%C3%A1scara/dp/B07KSV7RLB/ref=sr_1_7?s=electronics&amp;ie=UTF8&amp;qid=1544150815&amp;sr=1-7&amp;keywords=Outdoor+riding+mask" TargetMode="External"/><Relationship Id="rId67" Type="http://schemas.openxmlformats.org/officeDocument/2006/relationships/hyperlink" Target="https://www.amazon.es/gp/product/B07BHN83BW" TargetMode="External"/><Relationship Id="rId20" Type="http://schemas.openxmlformats.org/officeDocument/2006/relationships/hyperlink" Target="https://www.amazon.co.uk/dp/B079HN3F1D" TargetMode="External"/><Relationship Id="rId41" Type="http://schemas.openxmlformats.org/officeDocument/2006/relationships/hyperlink" Target="https://www.amazon.es/dp/B07K3WP6V9" TargetMode="External"/><Relationship Id="rId54" Type="http://schemas.openxmlformats.org/officeDocument/2006/relationships/hyperlink" Target="https://www.amazon.de/Docht-%C3%96llampe-Ollampe-Lampendocht-36PC/dp/B071J5FLD6/ref=sr_1_fkmr2_2?ie=UTF8&amp;qid=1525487128&amp;sr=8-2-fkmr2&amp;keywords=Hitzebest%C3%A4ndige+%C3%96llampe+Docht" TargetMode="External"/><Relationship Id="rId62" Type="http://schemas.openxmlformats.org/officeDocument/2006/relationships/hyperlink" Target="https://www.amazon.es/dp/B07JFH9HZH" TargetMode="External"/><Relationship Id="rId70" Type="http://schemas.openxmlformats.org/officeDocument/2006/relationships/hyperlink" Target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TargetMode="External"/><Relationship Id="rId75" Type="http://schemas.openxmlformats.org/officeDocument/2006/relationships/hyperlink" Target="https://www.amazon.co.uk/Handled-Shoehorn-Stainless-Hanging-Handmade/dp/B078WLR4SF/ref=sr_1_14?ie=UTF8&amp;qid=1544623865&amp;sr=8-14&amp;keywords=Shoehorn" TargetMode="External"/><Relationship Id="rId1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6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5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23" Type="http://schemas.openxmlformats.org/officeDocument/2006/relationships/hyperlink" Target="https://www.amazon.co.uk/JOYIN-Non-Toxic-Ultimate-including-METALLIC/dp/B075FH22G4/ref=sr_1_2_sspa?ie=UTF8&amp;qid=1544518629&amp;sr=8-2-spons&amp;keywords=face+paint&amp;psc=1" TargetMode="External"/><Relationship Id="rId28" Type="http://schemas.openxmlformats.org/officeDocument/2006/relationships/hyperlink" Target="http://www.amazon.de/gp/product/B07GV6GRW2" TargetMode="External"/><Relationship Id="rId36" Type="http://schemas.openxmlformats.org/officeDocument/2006/relationships/hyperlink" Target="https://www.amazon.co.uk/Shoulder-Adjustable-Dislocated-Neoprene-Recovery/dp/B071ZSCC9C/ref=sr_1_2_sspa?s=sports&amp;ie=UTF8&amp;qid=1534730807&amp;sr=1-2-spons&amp;keywords=Shoulder+Support+Brace+Strap&amp;psc=1" TargetMode="External"/><Relationship Id="rId49" Type="http://schemas.openxmlformats.org/officeDocument/2006/relationships/hyperlink" Target="https://www.amazon.it/Alleviare-Traspirante-Epicondilite-Indolenzimento-Muscolaredel/dp/B07BYSZ2VK/ref=pd_sbs_364_30?_encoding=UTF8&amp;psc=1&amp;refRID=KYHRDCQ3W7GRTYKSAJAN" TargetMode="External"/><Relationship Id="rId57" Type="http://schemas.openxmlformats.org/officeDocument/2006/relationships/hyperlink" Target="https://www.amazon.de/iZoeL-Korrektur-Hammerzeh-Korrekturschiene-Ballenschutz/dp/B071113X92/ref=sr_1_11?ie=UTF8&amp;qid=1522315918&amp;sr=8-11&amp;keywords=Bunion+Korrektur+Hallux+Valgus" TargetMode="External"/><Relationship Id="rId10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31" Type="http://schemas.openxmlformats.org/officeDocument/2006/relationships/hyperlink" Target="https://www.amazon.de/Anpro-Extruder-Drucker-Messing-Druckk%C3%B6pfe/dp/B07BMPWZHZ/ref=sr_1_115?ie=UTF8&amp;qid=1544192067&amp;sr=8-115&amp;keywords=Anpro" TargetMode="External"/><Relationship Id="rId44" Type="http://schemas.openxmlformats.org/officeDocument/2006/relationships/hyperlink" Target="https://www.amazon.es/piezas-Tienda-Tornillo-prueba-Accesorio/dp/B07BP11XVL/ref=sr_1_cc_2?s=aps&amp;ie=UTF8&amp;qid=1525487146&amp;sr=1-2-catcorr&amp;keywords=Clip+a+prueba+de+viento+de+la+tienda" TargetMode="External"/><Relationship Id="rId52" Type="http://schemas.openxmlformats.org/officeDocument/2006/relationships/hyperlink" Target="https://www.amazon.es/Piezas-Corrector-Juanete-por-COMPRESSX/dp/B01LWLPJOO/ref=pd_bxgy_121_img_2?_encoding=UTF8&amp;pd_rd_i=B01LWLPJOO&amp;pd_rd_r=af4a361b-621d-11e8-8278-3736ec2a25e0&amp;pd_rd_w=LHCcu&amp;pd_rd_wg=W" TargetMode="External"/><Relationship Id="rId60" Type="http://schemas.openxmlformats.org/officeDocument/2006/relationships/hyperlink" Target="https://www.amazon.com/KROWNER-Mini-Humidifier-Office-Charge/dp/B07B3QDCMX/ref=sr_1_7?ie=UTF8&amp;qid=1544433404&amp;sr=8-7&amp;keywords=USB+mini+light+humidifier+dark+brown" TargetMode="External"/><Relationship Id="rId65" Type="http://schemas.openxmlformats.org/officeDocument/2006/relationships/hyperlink" Target="https://www.amazon.it/gp/product/B0778FYT5S" TargetMode="External"/><Relationship Id="rId73" Type="http://schemas.openxmlformats.org/officeDocument/2006/relationships/hyperlink" Target="https://www.amazon.es/LUXJET-iluminaci%C3%B3n-regulable-infantiles-escritorio/dp/B075MWWGWD/ref=pd_sbs_201_4?_encoding=UTF8&amp;psc=1&amp;refRID=FDVE0JHBGF7NQY82RQX1" TargetMode="External"/><Relationship Id="rId78" Type="http://schemas.openxmlformats.org/officeDocument/2006/relationships/hyperlink" Target="https://www.amazon.it/Venkaite-Runner-matrimonio-Festival-Decorazione/dp/B06XTQ8869/ref=sr_1_5?s=toys&amp;ie=UTF8&amp;qid=1525923784&amp;sr=1-5&amp;keywords=Runner" TargetMode="External"/><Relationship Id="rId4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9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13" Type="http://schemas.openxmlformats.org/officeDocument/2006/relationships/hyperlink" Target="https://www.amazon.co.uk/Toddlers-Non-Toxic-Washable-Palm-Grip-Apicallife/dp/B07C1X7M4F/ref=sr_1_1_sspa?ie=UTF8&amp;qid=1531915639&amp;sr=8-1-spons&amp;keywords=finger+crayons&amp;psc=1" TargetMode="External"/><Relationship Id="rId18" Type="http://schemas.openxmlformats.org/officeDocument/2006/relationships/hyperlink" Target="https://www.amazon.co.uk/Piece-Stainless-Eyebrow-Grooming-Bizarre-ly/dp/B017T7757C/ref=sr_1_11_a_it?ie=UTF8&amp;qid=1532687176&amp;sr=8-11&amp;keywords=eyebrow+kit" TargetMode="External"/><Relationship Id="rId39" Type="http://schemas.openxmlformats.org/officeDocument/2006/relationships/hyperlink" Target="https://www.amazon.co.uk/Jia-Inc-Universal-Pushchair-Diamteter/dp/B076KKXDYC/ref=pd_day0_c_75_27?_encoding=UTF8&amp;pd_rd_i=B076KJPDML&amp;pd_rd_r=31c8467f-e649-11e8-84c2-9b8c2383eeea&amp;pd_rd_w=eIP2p&amp;pd_rd_wg=6" TargetMode="External"/><Relationship Id="rId34" Type="http://schemas.openxmlformats.org/officeDocument/2006/relationships/hyperlink" Target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TargetMode="External"/><Relationship Id="rId50" Type="http://schemas.openxmlformats.org/officeDocument/2006/relationships/hyperlink" Target="https://www.amazon.de/Fingerschiene-Gegenst%C3%BCtze-tenosynovity-verstellbare-innovativen/dp/B077MJY3HD/ref=sr_1_3?ie=UTF8&amp;qid=1525937723&amp;sr=8-3&amp;keywords=verstellbar+Fingerschiene+Brace" TargetMode="External"/><Relationship Id="rId55" Type="http://schemas.openxmlformats.org/officeDocument/2006/relationships/hyperlink" Target="https://www.amazon.co.uk/dp/B01NBA7W27" TargetMode="External"/><Relationship Id="rId76" Type="http://schemas.openxmlformats.org/officeDocument/2006/relationships/hyperlink" Target="https://www.amazon.co.uk/Multi-Kinetic-Agitator-Plastic-Beater/dp/B07F7QZ68L/ref=sr_1_14?ie=UTF8&amp;qid=1544623900&amp;sr=8-14&amp;keywords=Agitator" TargetMode="External"/><Relationship Id="rId7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71" Type="http://schemas.openxmlformats.org/officeDocument/2006/relationships/hyperlink" Target="https://www.amazon.co.uk/Hamimelon-Aluminium-Mountain-Bicycle-Handlebar/dp/B074GRHRVK/ref=sr_1_3?ie=UTF8&amp;qid=1544623774&amp;sr=8-3&amp;keywords=handlebar" TargetMode="External"/><Relationship Id="rId2" Type="http://schemas.openxmlformats.org/officeDocument/2006/relationships/hyperlink" Target="https://www.amazon.co.uk/Silicone-GULAKI-Non-Slip-Accessories-Wireless/dp/B0798MWRDC/ref=sr_1_8?s=electronics&amp;ie=UTF8&amp;qid=1533118664&amp;sr=1-8&amp;keywords=airpods+case" TargetMode="External"/><Relationship Id="rId29" Type="http://schemas.openxmlformats.org/officeDocument/2006/relationships/hyperlink" Target="https://www.amazon.de/Anpro-S%C3%BC%C3%9Figkeitent%C3%BCten-Bindestreifen-transparente-Verpackung/dp/B075V1Z57N/ref=sr_1_23?ie=UTF8&amp;qid=1544191877&amp;sr=8-23&amp;keywords=Anpro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07316-D9D4-4688-8BEB-887029244F5D}">
  <sheetPr codeName="Sheet1"/>
  <dimension ref="A1:C4"/>
  <sheetViews>
    <sheetView tabSelected="1" workbookViewId="0">
      <selection activeCell="F27" sqref="F27"/>
    </sheetView>
  </sheetViews>
  <sheetFormatPr defaultRowHeight="15"/>
  <cols>
    <col min="1" max="1" width="17.7109375" bestFit="1" customWidth="1"/>
  </cols>
  <sheetData>
    <row r="1" spans="1:3">
      <c r="A1" s="307" t="s">
        <v>756</v>
      </c>
      <c r="B1">
        <v>1489.38</v>
      </c>
    </row>
    <row r="2" spans="1:3">
      <c r="A2" s="307" t="s">
        <v>757</v>
      </c>
      <c r="B2">
        <v>1276.8699999999999</v>
      </c>
      <c r="C2" t="s">
        <v>810</v>
      </c>
    </row>
    <row r="3" spans="1:3">
      <c r="A3" s="307" t="s">
        <v>758</v>
      </c>
    </row>
    <row r="4" spans="1:3">
      <c r="A4" s="307" t="s">
        <v>759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217"/>
  <sheetViews>
    <sheetView topLeftCell="A13" workbookViewId="0">
      <selection activeCell="S12" sqref="S12"/>
    </sheetView>
  </sheetViews>
  <sheetFormatPr defaultColWidth="11.28515625" defaultRowHeight="18" customHeight="1"/>
  <cols>
    <col min="1" max="1" width="10.140625" style="186" customWidth="1"/>
    <col min="2" max="2" width="28.5703125" style="184" customWidth="1"/>
    <col min="3" max="3" width="26.85546875" style="184" customWidth="1"/>
    <col min="4" max="4" width="18.7109375" style="187" customWidth="1"/>
    <col min="5" max="5" width="13.5703125" style="184" customWidth="1"/>
    <col min="6" max="6" width="35.85546875" style="184" customWidth="1"/>
    <col min="7" max="7" width="15.140625" style="184" customWidth="1"/>
    <col min="8" max="8" width="31.42578125" style="188" customWidth="1"/>
    <col min="9" max="9" width="5" style="184" customWidth="1"/>
    <col min="10" max="10" width="8.5703125" style="184" bestFit="1" customWidth="1"/>
    <col min="11" max="11" width="7.7109375" style="184" customWidth="1"/>
    <col min="12" max="16" width="6.7109375" style="187" customWidth="1"/>
    <col min="17" max="17" width="8" style="189" customWidth="1"/>
    <col min="18" max="18" width="12.7109375" style="189" customWidth="1"/>
    <col min="19" max="19" width="16.28515625" style="187" customWidth="1"/>
    <col min="20" max="20" width="255.7109375" style="190" bestFit="1" customWidth="1"/>
    <col min="21" max="16384" width="11.28515625" style="184"/>
  </cols>
  <sheetData>
    <row r="1" spans="1:21" ht="18" customHeight="1">
      <c r="B1" s="184" t="s">
        <v>0</v>
      </c>
      <c r="F1" s="191"/>
      <c r="G1" s="191"/>
      <c r="H1" s="192"/>
      <c r="I1" s="191"/>
      <c r="T1" s="184"/>
    </row>
    <row r="2" spans="1:21" ht="18" customHeight="1">
      <c r="F2" s="191"/>
      <c r="G2" s="191"/>
      <c r="H2" s="192"/>
      <c r="I2" s="191"/>
      <c r="T2" s="184"/>
    </row>
    <row r="3" spans="1:21" ht="18" customHeight="1">
      <c r="B3" s="184" t="s">
        <v>1</v>
      </c>
      <c r="F3" s="191"/>
      <c r="G3" s="191"/>
      <c r="H3" s="192"/>
      <c r="I3" s="191"/>
      <c r="T3" s="184"/>
    </row>
    <row r="4" spans="1:21" ht="18" customHeight="1">
      <c r="F4" s="191"/>
      <c r="G4" s="191"/>
      <c r="H4" s="192"/>
      <c r="I4" s="191"/>
      <c r="T4" s="184"/>
    </row>
    <row r="5" spans="1:21" ht="18" customHeight="1">
      <c r="B5" s="184" t="s">
        <v>2</v>
      </c>
      <c r="F5" s="191"/>
      <c r="G5" s="191"/>
      <c r="H5" s="192"/>
      <c r="I5" s="191"/>
      <c r="T5" s="184"/>
    </row>
    <row r="6" spans="1:21" ht="18" customHeight="1">
      <c r="B6" s="193" t="s">
        <v>3</v>
      </c>
      <c r="F6" s="191"/>
      <c r="G6" s="191"/>
      <c r="H6" s="192"/>
      <c r="I6" s="191"/>
      <c r="T6" s="184"/>
    </row>
    <row r="7" spans="1:21" ht="18" customHeight="1">
      <c r="B7" s="193" t="s">
        <v>4</v>
      </c>
      <c r="F7" s="191"/>
      <c r="G7" s="191"/>
      <c r="H7" s="192"/>
      <c r="I7" s="191"/>
      <c r="T7" s="184"/>
    </row>
    <row r="8" spans="1:21" ht="18" customHeight="1">
      <c r="B8" s="193" t="s">
        <v>5</v>
      </c>
      <c r="F8" s="191"/>
      <c r="G8" s="191"/>
      <c r="H8" s="192"/>
      <c r="I8" s="191"/>
      <c r="R8" s="226"/>
      <c r="S8" s="227" t="s">
        <v>6</v>
      </c>
      <c r="T8" s="228"/>
      <c r="U8" s="228"/>
    </row>
    <row r="9" spans="1:21" ht="18" customHeight="1">
      <c r="B9" s="193" t="s">
        <v>7</v>
      </c>
      <c r="F9" s="191"/>
      <c r="G9" s="191"/>
      <c r="H9" s="192"/>
      <c r="I9" s="191"/>
      <c r="R9" s="226"/>
      <c r="S9" s="229" t="s">
        <v>8</v>
      </c>
      <c r="T9" s="228" t="s">
        <v>9</v>
      </c>
      <c r="U9" s="228"/>
    </row>
    <row r="10" spans="1:21" s="185" customFormat="1" ht="43.5" customHeight="1">
      <c r="A10" s="194"/>
      <c r="B10" s="195" t="s">
        <v>10</v>
      </c>
      <c r="C10" s="332" t="s">
        <v>11</v>
      </c>
      <c r="D10" s="333"/>
      <c r="E10" s="196"/>
      <c r="F10" s="196"/>
      <c r="G10" s="196"/>
      <c r="H10" s="196"/>
      <c r="I10" s="196" t="s">
        <v>12</v>
      </c>
      <c r="J10" s="216" t="s">
        <v>13</v>
      </c>
      <c r="K10" s="216" t="s">
        <v>14</v>
      </c>
      <c r="L10" s="216" t="s">
        <v>15</v>
      </c>
      <c r="M10" s="217"/>
      <c r="N10" s="334" t="s">
        <v>16</v>
      </c>
      <c r="O10" s="335"/>
      <c r="P10" s="336"/>
      <c r="Q10" s="230" t="s">
        <v>17</v>
      </c>
      <c r="R10" s="230" t="s">
        <v>18</v>
      </c>
      <c r="S10" s="196" t="s">
        <v>19</v>
      </c>
      <c r="T10" s="194"/>
      <c r="U10" s="185" t="s">
        <v>20</v>
      </c>
    </row>
    <row r="11" spans="1:21" s="185" customFormat="1" ht="31.5" customHeight="1">
      <c r="A11" s="194"/>
      <c r="B11" s="195" t="s">
        <v>21</v>
      </c>
      <c r="C11" s="197" t="s">
        <v>22</v>
      </c>
      <c r="D11" s="198" t="s">
        <v>23</v>
      </c>
      <c r="E11" s="199" t="s">
        <v>24</v>
      </c>
      <c r="F11" s="199" t="s">
        <v>25</v>
      </c>
      <c r="G11" s="199" t="s">
        <v>26</v>
      </c>
      <c r="H11" s="199" t="s">
        <v>27</v>
      </c>
      <c r="I11" s="196" t="s">
        <v>28</v>
      </c>
      <c r="J11" s="216" t="s">
        <v>29</v>
      </c>
      <c r="K11" s="216" t="s">
        <v>30</v>
      </c>
      <c r="L11" s="216" t="s">
        <v>31</v>
      </c>
      <c r="M11" s="218"/>
      <c r="N11" s="219" t="s">
        <v>32</v>
      </c>
      <c r="O11" s="219" t="s">
        <v>33</v>
      </c>
      <c r="P11" s="219" t="s">
        <v>34</v>
      </c>
      <c r="Q11" s="231" t="s">
        <v>35</v>
      </c>
      <c r="R11" s="231" t="s">
        <v>35</v>
      </c>
      <c r="S11" s="196" t="s">
        <v>36</v>
      </c>
      <c r="T11" s="196" t="s">
        <v>37</v>
      </c>
    </row>
    <row r="12" spans="1:21" ht="18" customHeight="1">
      <c r="A12" s="200">
        <v>1</v>
      </c>
      <c r="B12" s="201" t="s">
        <v>38</v>
      </c>
      <c r="C12" s="202" t="s">
        <v>39</v>
      </c>
      <c r="D12" s="203" t="s">
        <v>40</v>
      </c>
      <c r="E12" s="204" t="s">
        <v>41</v>
      </c>
      <c r="F12" s="202" t="s">
        <v>42</v>
      </c>
      <c r="G12" s="205" t="s">
        <v>41</v>
      </c>
      <c r="H12" s="202" t="s">
        <v>43</v>
      </c>
      <c r="I12" s="220">
        <v>32</v>
      </c>
      <c r="J12" s="221">
        <f t="shared" ref="J12:J27" si="0">K12-1.5</f>
        <v>19.350000000000001</v>
      </c>
      <c r="K12" s="221">
        <v>20.85</v>
      </c>
      <c r="L12" s="222">
        <v>1</v>
      </c>
      <c r="M12" s="221">
        <f t="shared" ref="M12:M27" si="1">N12*O12*P12/6000</f>
        <v>24.803999999999998</v>
      </c>
      <c r="N12" s="206">
        <v>53</v>
      </c>
      <c r="O12" s="221">
        <v>52</v>
      </c>
      <c r="P12" s="221">
        <v>54</v>
      </c>
      <c r="Q12" s="232">
        <v>0.7</v>
      </c>
      <c r="R12" s="233">
        <f t="shared" ref="R12:R75" si="2">Q12*I12</f>
        <v>22.4</v>
      </c>
      <c r="S12" s="202">
        <v>9503006000</v>
      </c>
      <c r="T12" s="234" t="s">
        <v>44</v>
      </c>
    </row>
    <row r="13" spans="1:21" ht="18" customHeight="1">
      <c r="A13" s="200">
        <v>2</v>
      </c>
      <c r="B13" s="206" t="s">
        <v>45</v>
      </c>
      <c r="C13" s="202" t="s">
        <v>39</v>
      </c>
      <c r="D13" s="203" t="s">
        <v>40</v>
      </c>
      <c r="E13" s="204" t="s">
        <v>41</v>
      </c>
      <c r="F13" s="202" t="s">
        <v>42</v>
      </c>
      <c r="G13" s="205" t="s">
        <v>41</v>
      </c>
      <c r="H13" s="202" t="s">
        <v>43</v>
      </c>
      <c r="I13" s="220">
        <v>32</v>
      </c>
      <c r="J13" s="221">
        <f t="shared" si="0"/>
        <v>19.350000000000001</v>
      </c>
      <c r="K13" s="221">
        <v>20.85</v>
      </c>
      <c r="L13" s="222">
        <v>1</v>
      </c>
      <c r="M13" s="221">
        <f t="shared" si="1"/>
        <v>24.803999999999998</v>
      </c>
      <c r="N13" s="206">
        <v>53</v>
      </c>
      <c r="O13" s="221">
        <v>52</v>
      </c>
      <c r="P13" s="221">
        <v>54</v>
      </c>
      <c r="Q13" s="232">
        <v>0.7</v>
      </c>
      <c r="R13" s="233">
        <f t="shared" si="2"/>
        <v>22.4</v>
      </c>
      <c r="S13" s="202">
        <v>9503006000</v>
      </c>
      <c r="T13" s="234" t="s">
        <v>44</v>
      </c>
    </row>
    <row r="14" spans="1:21" ht="18" customHeight="1">
      <c r="A14" s="200">
        <v>3</v>
      </c>
      <c r="B14" s="206" t="s">
        <v>46</v>
      </c>
      <c r="C14" s="202" t="s">
        <v>39</v>
      </c>
      <c r="D14" s="203" t="s">
        <v>40</v>
      </c>
      <c r="E14" s="204" t="s">
        <v>41</v>
      </c>
      <c r="F14" s="202" t="s">
        <v>42</v>
      </c>
      <c r="G14" s="205" t="s">
        <v>41</v>
      </c>
      <c r="H14" s="202" t="s">
        <v>43</v>
      </c>
      <c r="I14" s="220">
        <v>32</v>
      </c>
      <c r="J14" s="221">
        <f t="shared" si="0"/>
        <v>19.350000000000001</v>
      </c>
      <c r="K14" s="221">
        <v>20.85</v>
      </c>
      <c r="L14" s="222">
        <v>1</v>
      </c>
      <c r="M14" s="221">
        <f t="shared" si="1"/>
        <v>24.803999999999998</v>
      </c>
      <c r="N14" s="206">
        <v>53</v>
      </c>
      <c r="O14" s="221">
        <v>52</v>
      </c>
      <c r="P14" s="221">
        <v>54</v>
      </c>
      <c r="Q14" s="232">
        <v>0.7</v>
      </c>
      <c r="R14" s="233">
        <f t="shared" si="2"/>
        <v>22.4</v>
      </c>
      <c r="S14" s="202">
        <v>9503006000</v>
      </c>
      <c r="T14" s="234" t="s">
        <v>44</v>
      </c>
    </row>
    <row r="15" spans="1:21" ht="18" customHeight="1">
      <c r="A15" s="200">
        <v>4</v>
      </c>
      <c r="B15" s="206" t="s">
        <v>47</v>
      </c>
      <c r="C15" s="202" t="s">
        <v>39</v>
      </c>
      <c r="D15" s="203" t="s">
        <v>40</v>
      </c>
      <c r="E15" s="204" t="s">
        <v>41</v>
      </c>
      <c r="F15" s="202" t="s">
        <v>42</v>
      </c>
      <c r="G15" s="205" t="s">
        <v>41</v>
      </c>
      <c r="H15" s="202" t="s">
        <v>43</v>
      </c>
      <c r="I15" s="220">
        <v>32</v>
      </c>
      <c r="J15" s="221">
        <f t="shared" si="0"/>
        <v>19.350000000000001</v>
      </c>
      <c r="K15" s="221">
        <v>20.85</v>
      </c>
      <c r="L15" s="222">
        <v>1</v>
      </c>
      <c r="M15" s="221">
        <f t="shared" si="1"/>
        <v>24.803999999999998</v>
      </c>
      <c r="N15" s="206">
        <v>53</v>
      </c>
      <c r="O15" s="221">
        <v>52</v>
      </c>
      <c r="P15" s="221">
        <v>54</v>
      </c>
      <c r="Q15" s="232">
        <v>0.7</v>
      </c>
      <c r="R15" s="233">
        <f t="shared" si="2"/>
        <v>22.4</v>
      </c>
      <c r="S15" s="202">
        <v>9503006000</v>
      </c>
      <c r="T15" s="234" t="s">
        <v>44</v>
      </c>
    </row>
    <row r="16" spans="1:21" ht="18" customHeight="1">
      <c r="A16" s="200">
        <v>5</v>
      </c>
      <c r="B16" s="206" t="s">
        <v>48</v>
      </c>
      <c r="C16" s="202" t="s">
        <v>39</v>
      </c>
      <c r="D16" s="203" t="s">
        <v>40</v>
      </c>
      <c r="E16" s="204" t="s">
        <v>41</v>
      </c>
      <c r="F16" s="202" t="s">
        <v>42</v>
      </c>
      <c r="G16" s="205" t="s">
        <v>41</v>
      </c>
      <c r="H16" s="202" t="s">
        <v>43</v>
      </c>
      <c r="I16" s="220">
        <v>32</v>
      </c>
      <c r="J16" s="221">
        <f t="shared" si="0"/>
        <v>19.350000000000001</v>
      </c>
      <c r="K16" s="221">
        <v>20.85</v>
      </c>
      <c r="L16" s="222">
        <v>1</v>
      </c>
      <c r="M16" s="221">
        <f t="shared" si="1"/>
        <v>24.803999999999998</v>
      </c>
      <c r="N16" s="206">
        <v>53</v>
      </c>
      <c r="O16" s="221">
        <v>52</v>
      </c>
      <c r="P16" s="221">
        <v>54</v>
      </c>
      <c r="Q16" s="232">
        <v>0.7</v>
      </c>
      <c r="R16" s="233">
        <f t="shared" si="2"/>
        <v>22.4</v>
      </c>
      <c r="S16" s="202">
        <v>9503006000</v>
      </c>
      <c r="T16" s="234" t="s">
        <v>44</v>
      </c>
    </row>
    <row r="17" spans="1:20" ht="18" customHeight="1">
      <c r="A17" s="200">
        <v>6</v>
      </c>
      <c r="B17" s="206" t="s">
        <v>49</v>
      </c>
      <c r="C17" s="202" t="s">
        <v>39</v>
      </c>
      <c r="D17" s="203" t="s">
        <v>40</v>
      </c>
      <c r="E17" s="204" t="s">
        <v>41</v>
      </c>
      <c r="F17" s="202" t="s">
        <v>42</v>
      </c>
      <c r="G17" s="205" t="s">
        <v>41</v>
      </c>
      <c r="H17" s="202" t="s">
        <v>43</v>
      </c>
      <c r="I17" s="220">
        <v>32</v>
      </c>
      <c r="J17" s="221">
        <f t="shared" si="0"/>
        <v>19.350000000000001</v>
      </c>
      <c r="K17" s="221">
        <v>20.85</v>
      </c>
      <c r="L17" s="222">
        <v>1</v>
      </c>
      <c r="M17" s="221">
        <f t="shared" si="1"/>
        <v>24.803999999999998</v>
      </c>
      <c r="N17" s="206">
        <v>53</v>
      </c>
      <c r="O17" s="221">
        <v>52</v>
      </c>
      <c r="P17" s="221">
        <v>54</v>
      </c>
      <c r="Q17" s="232">
        <v>0.7</v>
      </c>
      <c r="R17" s="233">
        <f t="shared" si="2"/>
        <v>22.4</v>
      </c>
      <c r="S17" s="202">
        <v>9503006000</v>
      </c>
      <c r="T17" s="234" t="s">
        <v>44</v>
      </c>
    </row>
    <row r="18" spans="1:20" ht="18" customHeight="1">
      <c r="A18" s="200">
        <v>7</v>
      </c>
      <c r="B18" s="206" t="s">
        <v>50</v>
      </c>
      <c r="C18" s="202" t="s">
        <v>39</v>
      </c>
      <c r="D18" s="203" t="s">
        <v>40</v>
      </c>
      <c r="E18" s="204" t="s">
        <v>41</v>
      </c>
      <c r="F18" s="202" t="s">
        <v>42</v>
      </c>
      <c r="G18" s="205" t="s">
        <v>41</v>
      </c>
      <c r="H18" s="202" t="s">
        <v>43</v>
      </c>
      <c r="I18" s="220">
        <v>32</v>
      </c>
      <c r="J18" s="221">
        <f t="shared" si="0"/>
        <v>19.350000000000001</v>
      </c>
      <c r="K18" s="221">
        <v>20.85</v>
      </c>
      <c r="L18" s="222">
        <v>1</v>
      </c>
      <c r="M18" s="221">
        <f t="shared" si="1"/>
        <v>24.803999999999998</v>
      </c>
      <c r="N18" s="206">
        <v>53</v>
      </c>
      <c r="O18" s="221">
        <v>52</v>
      </c>
      <c r="P18" s="221">
        <v>54</v>
      </c>
      <c r="Q18" s="232">
        <v>0.7</v>
      </c>
      <c r="R18" s="233">
        <f t="shared" si="2"/>
        <v>22.4</v>
      </c>
      <c r="S18" s="202">
        <v>9503006000</v>
      </c>
      <c r="T18" s="234" t="s">
        <v>44</v>
      </c>
    </row>
    <row r="19" spans="1:20" ht="18" customHeight="1">
      <c r="A19" s="200">
        <v>8</v>
      </c>
      <c r="B19" s="206" t="s">
        <v>51</v>
      </c>
      <c r="C19" s="202" t="s">
        <v>39</v>
      </c>
      <c r="D19" s="203" t="s">
        <v>40</v>
      </c>
      <c r="E19" s="204" t="s">
        <v>41</v>
      </c>
      <c r="F19" s="202" t="s">
        <v>42</v>
      </c>
      <c r="G19" s="205" t="s">
        <v>41</v>
      </c>
      <c r="H19" s="202" t="s">
        <v>43</v>
      </c>
      <c r="I19" s="220">
        <v>32</v>
      </c>
      <c r="J19" s="221">
        <f t="shared" si="0"/>
        <v>19.350000000000001</v>
      </c>
      <c r="K19" s="221">
        <v>20.85</v>
      </c>
      <c r="L19" s="222">
        <v>1</v>
      </c>
      <c r="M19" s="221">
        <f t="shared" si="1"/>
        <v>24.803999999999998</v>
      </c>
      <c r="N19" s="206">
        <v>53</v>
      </c>
      <c r="O19" s="221">
        <v>52</v>
      </c>
      <c r="P19" s="221">
        <v>54</v>
      </c>
      <c r="Q19" s="232">
        <v>0.7</v>
      </c>
      <c r="R19" s="233">
        <f t="shared" si="2"/>
        <v>22.4</v>
      </c>
      <c r="S19" s="202">
        <v>9503006000</v>
      </c>
      <c r="T19" s="234" t="s">
        <v>44</v>
      </c>
    </row>
    <row r="20" spans="1:20" ht="18" customHeight="1">
      <c r="A20" s="200">
        <v>9</v>
      </c>
      <c r="B20" s="206" t="s">
        <v>52</v>
      </c>
      <c r="C20" s="202" t="s">
        <v>39</v>
      </c>
      <c r="D20" s="203" t="s">
        <v>40</v>
      </c>
      <c r="E20" s="204" t="s">
        <v>41</v>
      </c>
      <c r="F20" s="202" t="s">
        <v>42</v>
      </c>
      <c r="G20" s="205" t="s">
        <v>41</v>
      </c>
      <c r="H20" s="202" t="s">
        <v>43</v>
      </c>
      <c r="I20" s="220">
        <v>32</v>
      </c>
      <c r="J20" s="221">
        <f t="shared" si="0"/>
        <v>19.350000000000001</v>
      </c>
      <c r="K20" s="221">
        <v>20.85</v>
      </c>
      <c r="L20" s="222">
        <v>1</v>
      </c>
      <c r="M20" s="221">
        <f t="shared" si="1"/>
        <v>24.803999999999998</v>
      </c>
      <c r="N20" s="206">
        <v>53</v>
      </c>
      <c r="O20" s="221">
        <v>52</v>
      </c>
      <c r="P20" s="221">
        <v>54</v>
      </c>
      <c r="Q20" s="232">
        <v>0.7</v>
      </c>
      <c r="R20" s="233">
        <f t="shared" si="2"/>
        <v>22.4</v>
      </c>
      <c r="S20" s="202">
        <v>9503006000</v>
      </c>
      <c r="T20" s="234" t="s">
        <v>44</v>
      </c>
    </row>
    <row r="21" spans="1:20" ht="18" customHeight="1">
      <c r="A21" s="200">
        <v>10</v>
      </c>
      <c r="B21" s="206" t="s">
        <v>53</v>
      </c>
      <c r="C21" s="202" t="s">
        <v>39</v>
      </c>
      <c r="D21" s="203" t="s">
        <v>40</v>
      </c>
      <c r="E21" s="204" t="s">
        <v>41</v>
      </c>
      <c r="F21" s="202" t="s">
        <v>42</v>
      </c>
      <c r="G21" s="205" t="s">
        <v>41</v>
      </c>
      <c r="H21" s="202" t="s">
        <v>43</v>
      </c>
      <c r="I21" s="220">
        <v>32</v>
      </c>
      <c r="J21" s="221">
        <f t="shared" si="0"/>
        <v>19.350000000000001</v>
      </c>
      <c r="K21" s="221">
        <v>20.85</v>
      </c>
      <c r="L21" s="222">
        <v>1</v>
      </c>
      <c r="M21" s="221">
        <f t="shared" si="1"/>
        <v>24.803999999999998</v>
      </c>
      <c r="N21" s="206">
        <v>53</v>
      </c>
      <c r="O21" s="221">
        <v>52</v>
      </c>
      <c r="P21" s="221">
        <v>54</v>
      </c>
      <c r="Q21" s="232">
        <v>0.7</v>
      </c>
      <c r="R21" s="233">
        <f t="shared" si="2"/>
        <v>22.4</v>
      </c>
      <c r="S21" s="202">
        <v>9503006000</v>
      </c>
      <c r="T21" s="234" t="s">
        <v>44</v>
      </c>
    </row>
    <row r="22" spans="1:20" ht="18" customHeight="1">
      <c r="A22" s="200">
        <v>11</v>
      </c>
      <c r="B22" s="206" t="s">
        <v>54</v>
      </c>
      <c r="C22" s="202" t="s">
        <v>39</v>
      </c>
      <c r="D22" s="203" t="s">
        <v>40</v>
      </c>
      <c r="E22" s="204" t="s">
        <v>41</v>
      </c>
      <c r="F22" s="202" t="s">
        <v>42</v>
      </c>
      <c r="G22" s="205" t="s">
        <v>41</v>
      </c>
      <c r="H22" s="202" t="s">
        <v>43</v>
      </c>
      <c r="I22" s="220">
        <v>32</v>
      </c>
      <c r="J22" s="221">
        <f t="shared" si="0"/>
        <v>19.350000000000001</v>
      </c>
      <c r="K22" s="221">
        <v>20.85</v>
      </c>
      <c r="L22" s="222">
        <v>1</v>
      </c>
      <c r="M22" s="221">
        <f t="shared" si="1"/>
        <v>24.803999999999998</v>
      </c>
      <c r="N22" s="206">
        <v>53</v>
      </c>
      <c r="O22" s="221">
        <v>52</v>
      </c>
      <c r="P22" s="221">
        <v>54</v>
      </c>
      <c r="Q22" s="232">
        <v>0.7</v>
      </c>
      <c r="R22" s="233">
        <f t="shared" si="2"/>
        <v>22.4</v>
      </c>
      <c r="S22" s="202">
        <v>9503006000</v>
      </c>
      <c r="T22" s="234" t="s">
        <v>44</v>
      </c>
    </row>
    <row r="23" spans="1:20" ht="18" customHeight="1">
      <c r="A23" s="200">
        <v>12</v>
      </c>
      <c r="B23" s="206" t="s">
        <v>55</v>
      </c>
      <c r="C23" s="202" t="s">
        <v>39</v>
      </c>
      <c r="D23" s="203" t="s">
        <v>40</v>
      </c>
      <c r="E23" s="204" t="s">
        <v>41</v>
      </c>
      <c r="F23" s="202" t="s">
        <v>42</v>
      </c>
      <c r="G23" s="205" t="s">
        <v>41</v>
      </c>
      <c r="H23" s="202" t="s">
        <v>43</v>
      </c>
      <c r="I23" s="220">
        <v>32</v>
      </c>
      <c r="J23" s="221">
        <f t="shared" si="0"/>
        <v>19.350000000000001</v>
      </c>
      <c r="K23" s="221">
        <v>20.85</v>
      </c>
      <c r="L23" s="222">
        <v>1</v>
      </c>
      <c r="M23" s="221">
        <f t="shared" si="1"/>
        <v>24.803999999999998</v>
      </c>
      <c r="N23" s="206">
        <v>53</v>
      </c>
      <c r="O23" s="221">
        <v>52</v>
      </c>
      <c r="P23" s="221">
        <v>54</v>
      </c>
      <c r="Q23" s="232">
        <v>0.7</v>
      </c>
      <c r="R23" s="233">
        <f t="shared" si="2"/>
        <v>22.4</v>
      </c>
      <c r="S23" s="202">
        <v>9503006000</v>
      </c>
      <c r="T23" s="234" t="s">
        <v>44</v>
      </c>
    </row>
    <row r="24" spans="1:20" ht="18" customHeight="1">
      <c r="A24" s="200">
        <v>13</v>
      </c>
      <c r="B24" s="206" t="s">
        <v>56</v>
      </c>
      <c r="C24" s="202" t="s">
        <v>39</v>
      </c>
      <c r="D24" s="203" t="s">
        <v>40</v>
      </c>
      <c r="E24" s="204" t="s">
        <v>41</v>
      </c>
      <c r="F24" s="202" t="s">
        <v>42</v>
      </c>
      <c r="G24" s="205" t="s">
        <v>41</v>
      </c>
      <c r="H24" s="202" t="s">
        <v>43</v>
      </c>
      <c r="I24" s="220">
        <v>32</v>
      </c>
      <c r="J24" s="221">
        <f t="shared" si="0"/>
        <v>19.350000000000001</v>
      </c>
      <c r="K24" s="221">
        <v>20.85</v>
      </c>
      <c r="L24" s="222">
        <v>1</v>
      </c>
      <c r="M24" s="221">
        <f t="shared" si="1"/>
        <v>24.803999999999998</v>
      </c>
      <c r="N24" s="206">
        <v>53</v>
      </c>
      <c r="O24" s="221">
        <v>52</v>
      </c>
      <c r="P24" s="221">
        <v>54</v>
      </c>
      <c r="Q24" s="232">
        <v>0.7</v>
      </c>
      <c r="R24" s="233">
        <f t="shared" si="2"/>
        <v>22.4</v>
      </c>
      <c r="S24" s="202">
        <v>9503006000</v>
      </c>
      <c r="T24" s="234" t="s">
        <v>44</v>
      </c>
    </row>
    <row r="25" spans="1:20" ht="18" customHeight="1">
      <c r="A25" s="200">
        <v>14</v>
      </c>
      <c r="B25" s="206" t="s">
        <v>57</v>
      </c>
      <c r="C25" s="202" t="s">
        <v>39</v>
      </c>
      <c r="D25" s="203" t="s">
        <v>40</v>
      </c>
      <c r="E25" s="204" t="s">
        <v>41</v>
      </c>
      <c r="F25" s="202" t="s">
        <v>42</v>
      </c>
      <c r="G25" s="205" t="s">
        <v>41</v>
      </c>
      <c r="H25" s="202" t="s">
        <v>43</v>
      </c>
      <c r="I25" s="220">
        <v>32</v>
      </c>
      <c r="J25" s="221">
        <f t="shared" si="0"/>
        <v>19.350000000000001</v>
      </c>
      <c r="K25" s="221">
        <v>20.85</v>
      </c>
      <c r="L25" s="222">
        <v>1</v>
      </c>
      <c r="M25" s="221">
        <f t="shared" si="1"/>
        <v>24.803999999999998</v>
      </c>
      <c r="N25" s="206">
        <v>53</v>
      </c>
      <c r="O25" s="221">
        <v>52</v>
      </c>
      <c r="P25" s="221">
        <v>54</v>
      </c>
      <c r="Q25" s="232">
        <v>0.7</v>
      </c>
      <c r="R25" s="233">
        <f t="shared" si="2"/>
        <v>22.4</v>
      </c>
      <c r="S25" s="202">
        <v>9503006000</v>
      </c>
      <c r="T25" s="234" t="s">
        <v>44</v>
      </c>
    </row>
    <row r="26" spans="1:20" ht="18.95" customHeight="1">
      <c r="A26" s="200">
        <v>15</v>
      </c>
      <c r="B26" s="206" t="s">
        <v>58</v>
      </c>
      <c r="C26" s="202" t="s">
        <v>39</v>
      </c>
      <c r="D26" s="203" t="s">
        <v>40</v>
      </c>
      <c r="E26" s="204" t="s">
        <v>41</v>
      </c>
      <c r="F26" s="202" t="s">
        <v>42</v>
      </c>
      <c r="G26" s="205" t="s">
        <v>41</v>
      </c>
      <c r="H26" s="202" t="s">
        <v>43</v>
      </c>
      <c r="I26" s="220">
        <v>32</v>
      </c>
      <c r="J26" s="221">
        <f t="shared" si="0"/>
        <v>19.350000000000001</v>
      </c>
      <c r="K26" s="221">
        <v>20.85</v>
      </c>
      <c r="L26" s="222">
        <v>1</v>
      </c>
      <c r="M26" s="221">
        <f t="shared" si="1"/>
        <v>24.803999999999998</v>
      </c>
      <c r="N26" s="206">
        <v>53</v>
      </c>
      <c r="O26" s="221">
        <v>52</v>
      </c>
      <c r="P26" s="221">
        <v>54</v>
      </c>
      <c r="Q26" s="232">
        <v>0.7</v>
      </c>
      <c r="R26" s="233">
        <f t="shared" si="2"/>
        <v>22.4</v>
      </c>
      <c r="S26" s="202">
        <v>9503006000</v>
      </c>
      <c r="T26" s="234" t="s">
        <v>44</v>
      </c>
    </row>
    <row r="27" spans="1:20" ht="18" customHeight="1">
      <c r="A27" s="320">
        <v>1</v>
      </c>
      <c r="B27" s="327" t="s">
        <v>59</v>
      </c>
      <c r="C27" s="207" t="s">
        <v>60</v>
      </c>
      <c r="D27" s="203" t="s">
        <v>61</v>
      </c>
      <c r="E27" s="208" t="s">
        <v>41</v>
      </c>
      <c r="F27" s="202" t="s">
        <v>62</v>
      </c>
      <c r="G27" s="208" t="s">
        <v>41</v>
      </c>
      <c r="H27" s="202" t="s">
        <v>63</v>
      </c>
      <c r="I27" s="202">
        <v>48</v>
      </c>
      <c r="J27" s="316">
        <f t="shared" si="0"/>
        <v>12.7</v>
      </c>
      <c r="K27" s="316">
        <v>14.2</v>
      </c>
      <c r="L27" s="320">
        <v>1</v>
      </c>
      <c r="M27" s="316">
        <f t="shared" si="1"/>
        <v>14.233333333333333</v>
      </c>
      <c r="N27" s="316">
        <v>61</v>
      </c>
      <c r="O27" s="316">
        <v>40</v>
      </c>
      <c r="P27" s="316">
        <v>35</v>
      </c>
      <c r="Q27" s="232">
        <v>0.8</v>
      </c>
      <c r="R27" s="233">
        <f t="shared" si="2"/>
        <v>38.400000000000006</v>
      </c>
      <c r="S27" s="235">
        <v>9613800000</v>
      </c>
      <c r="T27" s="236" t="s">
        <v>64</v>
      </c>
    </row>
    <row r="28" spans="1:20" ht="18" customHeight="1">
      <c r="A28" s="321"/>
      <c r="B28" s="328"/>
      <c r="C28" s="207" t="s">
        <v>65</v>
      </c>
      <c r="D28" s="203" t="s">
        <v>66</v>
      </c>
      <c r="E28" s="208" t="s">
        <v>41</v>
      </c>
      <c r="F28" s="202" t="s">
        <v>67</v>
      </c>
      <c r="G28" s="208" t="s">
        <v>41</v>
      </c>
      <c r="H28" s="202" t="s">
        <v>68</v>
      </c>
      <c r="I28" s="202">
        <v>30</v>
      </c>
      <c r="J28" s="317"/>
      <c r="K28" s="317"/>
      <c r="L28" s="321"/>
      <c r="M28" s="317"/>
      <c r="N28" s="317"/>
      <c r="O28" s="317"/>
      <c r="P28" s="317"/>
      <c r="Q28" s="232">
        <v>0.8</v>
      </c>
      <c r="R28" s="233">
        <f t="shared" si="2"/>
        <v>24</v>
      </c>
      <c r="S28" s="235">
        <v>3923100000</v>
      </c>
      <c r="T28" s="236" t="s">
        <v>69</v>
      </c>
    </row>
    <row r="29" spans="1:20" ht="18" customHeight="1">
      <c r="A29" s="320">
        <v>2</v>
      </c>
      <c r="B29" s="329" t="s">
        <v>70</v>
      </c>
      <c r="C29" s="207" t="s">
        <v>60</v>
      </c>
      <c r="D29" s="203" t="s">
        <v>61</v>
      </c>
      <c r="E29" s="208" t="s">
        <v>41</v>
      </c>
      <c r="F29" s="202" t="s">
        <v>62</v>
      </c>
      <c r="G29" s="208" t="s">
        <v>41</v>
      </c>
      <c r="H29" s="202" t="s">
        <v>63</v>
      </c>
      <c r="I29" s="202">
        <v>48</v>
      </c>
      <c r="J29" s="316">
        <f t="shared" ref="J29:J33" si="3">K29-1.5</f>
        <v>12.7</v>
      </c>
      <c r="K29" s="316">
        <v>14.2</v>
      </c>
      <c r="L29" s="320">
        <v>1</v>
      </c>
      <c r="M29" s="316">
        <f t="shared" ref="M29:M33" si="4">N29*O29*P29/6000</f>
        <v>14.233333333333333</v>
      </c>
      <c r="N29" s="316">
        <v>61</v>
      </c>
      <c r="O29" s="316">
        <v>40</v>
      </c>
      <c r="P29" s="316">
        <v>35</v>
      </c>
      <c r="Q29" s="232">
        <v>0.8</v>
      </c>
      <c r="R29" s="233">
        <f t="shared" si="2"/>
        <v>38.400000000000006</v>
      </c>
      <c r="S29" s="235">
        <v>9613800000</v>
      </c>
      <c r="T29" s="236" t="s">
        <v>64</v>
      </c>
    </row>
    <row r="30" spans="1:20" ht="18" customHeight="1">
      <c r="A30" s="321"/>
      <c r="B30" s="321"/>
      <c r="C30" s="207" t="s">
        <v>65</v>
      </c>
      <c r="D30" s="203" t="s">
        <v>66</v>
      </c>
      <c r="E30" s="208" t="s">
        <v>41</v>
      </c>
      <c r="F30" s="202" t="s">
        <v>67</v>
      </c>
      <c r="G30" s="208" t="s">
        <v>41</v>
      </c>
      <c r="H30" s="202" t="s">
        <v>68</v>
      </c>
      <c r="I30" s="202">
        <v>30</v>
      </c>
      <c r="J30" s="317"/>
      <c r="K30" s="317"/>
      <c r="L30" s="321"/>
      <c r="M30" s="317"/>
      <c r="N30" s="317"/>
      <c r="O30" s="317"/>
      <c r="P30" s="317"/>
      <c r="Q30" s="232">
        <v>0.8</v>
      </c>
      <c r="R30" s="233">
        <f t="shared" si="2"/>
        <v>24</v>
      </c>
      <c r="S30" s="235">
        <v>3923100000</v>
      </c>
      <c r="T30" s="236" t="s">
        <v>69</v>
      </c>
    </row>
    <row r="31" spans="1:20" ht="18" customHeight="1">
      <c r="A31" s="320">
        <v>3</v>
      </c>
      <c r="B31" s="329" t="s">
        <v>71</v>
      </c>
      <c r="C31" s="207" t="s">
        <v>60</v>
      </c>
      <c r="D31" s="203" t="s">
        <v>61</v>
      </c>
      <c r="E31" s="208" t="s">
        <v>41</v>
      </c>
      <c r="F31" s="202" t="s">
        <v>62</v>
      </c>
      <c r="G31" s="208" t="s">
        <v>41</v>
      </c>
      <c r="H31" s="202" t="s">
        <v>63</v>
      </c>
      <c r="I31" s="202">
        <v>48</v>
      </c>
      <c r="J31" s="316">
        <f t="shared" si="3"/>
        <v>12.7</v>
      </c>
      <c r="K31" s="316">
        <v>14.2</v>
      </c>
      <c r="L31" s="320">
        <v>1</v>
      </c>
      <c r="M31" s="316">
        <f t="shared" si="4"/>
        <v>14.233333333333333</v>
      </c>
      <c r="N31" s="316">
        <v>61</v>
      </c>
      <c r="O31" s="316">
        <v>40</v>
      </c>
      <c r="P31" s="316">
        <v>35</v>
      </c>
      <c r="Q31" s="232">
        <v>0.8</v>
      </c>
      <c r="R31" s="233">
        <f t="shared" si="2"/>
        <v>38.400000000000006</v>
      </c>
      <c r="S31" s="235">
        <v>9613800000</v>
      </c>
      <c r="T31" s="236" t="s">
        <v>64</v>
      </c>
    </row>
    <row r="32" spans="1:20" ht="18" customHeight="1">
      <c r="A32" s="321"/>
      <c r="B32" s="321"/>
      <c r="C32" s="207" t="s">
        <v>65</v>
      </c>
      <c r="D32" s="203" t="s">
        <v>66</v>
      </c>
      <c r="E32" s="208" t="s">
        <v>41</v>
      </c>
      <c r="F32" s="202" t="s">
        <v>67</v>
      </c>
      <c r="G32" s="208" t="s">
        <v>41</v>
      </c>
      <c r="H32" s="202" t="s">
        <v>68</v>
      </c>
      <c r="I32" s="202">
        <v>30</v>
      </c>
      <c r="J32" s="317"/>
      <c r="K32" s="317"/>
      <c r="L32" s="321"/>
      <c r="M32" s="317"/>
      <c r="N32" s="317"/>
      <c r="O32" s="317"/>
      <c r="P32" s="317"/>
      <c r="Q32" s="232">
        <v>0.8</v>
      </c>
      <c r="R32" s="233">
        <f t="shared" si="2"/>
        <v>24</v>
      </c>
      <c r="S32" s="235">
        <v>3923100000</v>
      </c>
      <c r="T32" s="236" t="s">
        <v>69</v>
      </c>
    </row>
    <row r="33" spans="1:20" ht="18" customHeight="1">
      <c r="A33" s="320">
        <v>4</v>
      </c>
      <c r="B33" s="329" t="s">
        <v>72</v>
      </c>
      <c r="C33" s="207" t="s">
        <v>60</v>
      </c>
      <c r="D33" s="203" t="s">
        <v>61</v>
      </c>
      <c r="E33" s="208" t="s">
        <v>41</v>
      </c>
      <c r="F33" s="202" t="s">
        <v>62</v>
      </c>
      <c r="G33" s="208" t="s">
        <v>41</v>
      </c>
      <c r="H33" s="202" t="s">
        <v>63</v>
      </c>
      <c r="I33" s="202">
        <v>48</v>
      </c>
      <c r="J33" s="316">
        <f t="shared" si="3"/>
        <v>12.7</v>
      </c>
      <c r="K33" s="316">
        <v>14.2</v>
      </c>
      <c r="L33" s="320">
        <v>1</v>
      </c>
      <c r="M33" s="316">
        <f t="shared" si="4"/>
        <v>14.233333333333333</v>
      </c>
      <c r="N33" s="316">
        <v>61</v>
      </c>
      <c r="O33" s="316">
        <v>40</v>
      </c>
      <c r="P33" s="316">
        <v>35</v>
      </c>
      <c r="Q33" s="232">
        <v>0.8</v>
      </c>
      <c r="R33" s="233">
        <f t="shared" si="2"/>
        <v>38.400000000000006</v>
      </c>
      <c r="S33" s="235">
        <v>9613800000</v>
      </c>
      <c r="T33" s="236" t="s">
        <v>64</v>
      </c>
    </row>
    <row r="34" spans="1:20" ht="18" customHeight="1">
      <c r="A34" s="321"/>
      <c r="B34" s="321"/>
      <c r="C34" s="207" t="s">
        <v>65</v>
      </c>
      <c r="D34" s="203" t="s">
        <v>66</v>
      </c>
      <c r="E34" s="208" t="s">
        <v>41</v>
      </c>
      <c r="F34" s="202" t="s">
        <v>67</v>
      </c>
      <c r="G34" s="208" t="s">
        <v>41</v>
      </c>
      <c r="H34" s="202" t="s">
        <v>68</v>
      </c>
      <c r="I34" s="202">
        <v>30</v>
      </c>
      <c r="J34" s="317"/>
      <c r="K34" s="317"/>
      <c r="L34" s="321"/>
      <c r="M34" s="317"/>
      <c r="N34" s="317"/>
      <c r="O34" s="317"/>
      <c r="P34" s="317"/>
      <c r="Q34" s="232">
        <v>0.8</v>
      </c>
      <c r="R34" s="233">
        <f t="shared" si="2"/>
        <v>24</v>
      </c>
      <c r="S34" s="235">
        <v>3923100000</v>
      </c>
      <c r="T34" s="236" t="s">
        <v>69</v>
      </c>
    </row>
    <row r="35" spans="1:20" ht="18" customHeight="1">
      <c r="A35" s="320">
        <v>5</v>
      </c>
      <c r="B35" s="329" t="s">
        <v>73</v>
      </c>
      <c r="C35" s="207" t="s">
        <v>60</v>
      </c>
      <c r="D35" s="203" t="s">
        <v>61</v>
      </c>
      <c r="E35" s="208" t="s">
        <v>41</v>
      </c>
      <c r="F35" s="202" t="s">
        <v>62</v>
      </c>
      <c r="G35" s="208" t="s">
        <v>41</v>
      </c>
      <c r="H35" s="202" t="s">
        <v>63</v>
      </c>
      <c r="I35" s="202">
        <v>48</v>
      </c>
      <c r="J35" s="316">
        <f t="shared" ref="J35:J39" si="5">K35-1.5</f>
        <v>12.7</v>
      </c>
      <c r="K35" s="316">
        <v>14.2</v>
      </c>
      <c r="L35" s="320">
        <v>1</v>
      </c>
      <c r="M35" s="316">
        <f t="shared" ref="M35:M39" si="6">N35*O35*P35/6000</f>
        <v>14.233333333333333</v>
      </c>
      <c r="N35" s="316">
        <v>61</v>
      </c>
      <c r="O35" s="316">
        <v>40</v>
      </c>
      <c r="P35" s="316">
        <v>35</v>
      </c>
      <c r="Q35" s="232">
        <v>0.8</v>
      </c>
      <c r="R35" s="233">
        <f t="shared" si="2"/>
        <v>38.400000000000006</v>
      </c>
      <c r="S35" s="235">
        <v>9613800000</v>
      </c>
      <c r="T35" s="236" t="s">
        <v>64</v>
      </c>
    </row>
    <row r="36" spans="1:20" ht="18" customHeight="1">
      <c r="A36" s="321"/>
      <c r="B36" s="321"/>
      <c r="C36" s="207" t="s">
        <v>65</v>
      </c>
      <c r="D36" s="203" t="s">
        <v>66</v>
      </c>
      <c r="E36" s="208" t="s">
        <v>41</v>
      </c>
      <c r="F36" s="202" t="s">
        <v>67</v>
      </c>
      <c r="G36" s="208" t="s">
        <v>41</v>
      </c>
      <c r="H36" s="202" t="s">
        <v>68</v>
      </c>
      <c r="I36" s="202">
        <v>30</v>
      </c>
      <c r="J36" s="317"/>
      <c r="K36" s="317"/>
      <c r="L36" s="321"/>
      <c r="M36" s="317"/>
      <c r="N36" s="317"/>
      <c r="O36" s="317"/>
      <c r="P36" s="317"/>
      <c r="Q36" s="232">
        <v>0.8</v>
      </c>
      <c r="R36" s="233">
        <f t="shared" si="2"/>
        <v>24</v>
      </c>
      <c r="S36" s="235">
        <v>3923100000</v>
      </c>
      <c r="T36" s="236" t="s">
        <v>69</v>
      </c>
    </row>
    <row r="37" spans="1:20" ht="18" customHeight="1">
      <c r="A37" s="320">
        <v>6</v>
      </c>
      <c r="B37" s="329" t="s">
        <v>74</v>
      </c>
      <c r="C37" s="207" t="s">
        <v>60</v>
      </c>
      <c r="D37" s="203" t="s">
        <v>61</v>
      </c>
      <c r="E37" s="208" t="s">
        <v>41</v>
      </c>
      <c r="F37" s="202" t="s">
        <v>62</v>
      </c>
      <c r="G37" s="208" t="s">
        <v>41</v>
      </c>
      <c r="H37" s="202" t="s">
        <v>63</v>
      </c>
      <c r="I37" s="202">
        <v>48</v>
      </c>
      <c r="J37" s="316">
        <f t="shared" si="5"/>
        <v>12.7</v>
      </c>
      <c r="K37" s="316">
        <v>14.2</v>
      </c>
      <c r="L37" s="320">
        <v>1</v>
      </c>
      <c r="M37" s="316">
        <f t="shared" si="6"/>
        <v>14.233333333333333</v>
      </c>
      <c r="N37" s="316">
        <v>61</v>
      </c>
      <c r="O37" s="316">
        <v>40</v>
      </c>
      <c r="P37" s="316">
        <v>35</v>
      </c>
      <c r="Q37" s="232">
        <v>0.8</v>
      </c>
      <c r="R37" s="233">
        <f t="shared" si="2"/>
        <v>38.400000000000006</v>
      </c>
      <c r="S37" s="235">
        <v>9613800000</v>
      </c>
      <c r="T37" s="236" t="s">
        <v>64</v>
      </c>
    </row>
    <row r="38" spans="1:20" ht="18" customHeight="1">
      <c r="A38" s="321"/>
      <c r="B38" s="321"/>
      <c r="C38" s="207" t="s">
        <v>65</v>
      </c>
      <c r="D38" s="203" t="s">
        <v>66</v>
      </c>
      <c r="E38" s="208" t="s">
        <v>41</v>
      </c>
      <c r="F38" s="202" t="s">
        <v>67</v>
      </c>
      <c r="G38" s="208" t="s">
        <v>41</v>
      </c>
      <c r="H38" s="202" t="s">
        <v>68</v>
      </c>
      <c r="I38" s="202">
        <v>30</v>
      </c>
      <c r="J38" s="317"/>
      <c r="K38" s="317"/>
      <c r="L38" s="321"/>
      <c r="M38" s="317"/>
      <c r="N38" s="317"/>
      <c r="O38" s="317"/>
      <c r="P38" s="317"/>
      <c r="Q38" s="232">
        <v>0.8</v>
      </c>
      <c r="R38" s="233">
        <f t="shared" si="2"/>
        <v>24</v>
      </c>
      <c r="S38" s="235">
        <v>3923100000</v>
      </c>
      <c r="T38" s="236" t="s">
        <v>69</v>
      </c>
    </row>
    <row r="39" spans="1:20" ht="18" customHeight="1">
      <c r="A39" s="320">
        <v>7</v>
      </c>
      <c r="B39" s="329" t="s">
        <v>75</v>
      </c>
      <c r="C39" s="207" t="s">
        <v>60</v>
      </c>
      <c r="D39" s="203" t="s">
        <v>61</v>
      </c>
      <c r="E39" s="208" t="s">
        <v>41</v>
      </c>
      <c r="F39" s="202" t="s">
        <v>62</v>
      </c>
      <c r="G39" s="208" t="s">
        <v>41</v>
      </c>
      <c r="H39" s="202" t="s">
        <v>63</v>
      </c>
      <c r="I39" s="202">
        <v>48</v>
      </c>
      <c r="J39" s="316">
        <f t="shared" si="5"/>
        <v>12.7</v>
      </c>
      <c r="K39" s="316">
        <v>14.2</v>
      </c>
      <c r="L39" s="320">
        <v>1</v>
      </c>
      <c r="M39" s="316">
        <f t="shared" si="6"/>
        <v>14.233333333333333</v>
      </c>
      <c r="N39" s="316">
        <v>61</v>
      </c>
      <c r="O39" s="316">
        <v>40</v>
      </c>
      <c r="P39" s="316">
        <v>35</v>
      </c>
      <c r="Q39" s="232">
        <v>0.8</v>
      </c>
      <c r="R39" s="233">
        <f t="shared" si="2"/>
        <v>38.400000000000006</v>
      </c>
      <c r="S39" s="235">
        <v>9613800000</v>
      </c>
      <c r="T39" s="236" t="s">
        <v>64</v>
      </c>
    </row>
    <row r="40" spans="1:20" ht="18" customHeight="1">
      <c r="A40" s="321"/>
      <c r="B40" s="321"/>
      <c r="C40" s="207" t="s">
        <v>65</v>
      </c>
      <c r="D40" s="203" t="s">
        <v>66</v>
      </c>
      <c r="E40" s="208" t="s">
        <v>41</v>
      </c>
      <c r="F40" s="202" t="s">
        <v>67</v>
      </c>
      <c r="G40" s="208" t="s">
        <v>41</v>
      </c>
      <c r="H40" s="202" t="s">
        <v>68</v>
      </c>
      <c r="I40" s="202">
        <v>30</v>
      </c>
      <c r="J40" s="317"/>
      <c r="K40" s="317"/>
      <c r="L40" s="321"/>
      <c r="M40" s="317"/>
      <c r="N40" s="317"/>
      <c r="O40" s="317"/>
      <c r="P40" s="317"/>
      <c r="Q40" s="232">
        <v>0.8</v>
      </c>
      <c r="R40" s="233">
        <f t="shared" si="2"/>
        <v>24</v>
      </c>
      <c r="S40" s="235">
        <v>3923100000</v>
      </c>
      <c r="T40" s="236" t="s">
        <v>69</v>
      </c>
    </row>
    <row r="41" spans="1:20" ht="18" customHeight="1">
      <c r="A41" s="320">
        <v>8</v>
      </c>
      <c r="B41" s="329" t="s">
        <v>76</v>
      </c>
      <c r="C41" s="207" t="s">
        <v>60</v>
      </c>
      <c r="D41" s="203" t="s">
        <v>61</v>
      </c>
      <c r="E41" s="208" t="s">
        <v>41</v>
      </c>
      <c r="F41" s="202" t="s">
        <v>62</v>
      </c>
      <c r="G41" s="208" t="s">
        <v>41</v>
      </c>
      <c r="H41" s="202" t="s">
        <v>63</v>
      </c>
      <c r="I41" s="202">
        <v>48</v>
      </c>
      <c r="J41" s="316">
        <f t="shared" ref="J41:J45" si="7">K41-1.5</f>
        <v>12.7</v>
      </c>
      <c r="K41" s="316">
        <v>14.2</v>
      </c>
      <c r="L41" s="320">
        <v>1</v>
      </c>
      <c r="M41" s="316">
        <f t="shared" ref="M41:M45" si="8">N41*O41*P41/6000</f>
        <v>14.233333333333333</v>
      </c>
      <c r="N41" s="316">
        <v>61</v>
      </c>
      <c r="O41" s="316">
        <v>40</v>
      </c>
      <c r="P41" s="316">
        <v>35</v>
      </c>
      <c r="Q41" s="232">
        <v>0.8</v>
      </c>
      <c r="R41" s="233">
        <f t="shared" si="2"/>
        <v>38.400000000000006</v>
      </c>
      <c r="S41" s="235">
        <v>9613800000</v>
      </c>
      <c r="T41" s="236" t="s">
        <v>64</v>
      </c>
    </row>
    <row r="42" spans="1:20" ht="18" customHeight="1">
      <c r="A42" s="321"/>
      <c r="B42" s="321"/>
      <c r="C42" s="207" t="s">
        <v>65</v>
      </c>
      <c r="D42" s="203" t="s">
        <v>66</v>
      </c>
      <c r="E42" s="208" t="s">
        <v>41</v>
      </c>
      <c r="F42" s="202" t="s">
        <v>67</v>
      </c>
      <c r="G42" s="208" t="s">
        <v>41</v>
      </c>
      <c r="H42" s="202" t="s">
        <v>68</v>
      </c>
      <c r="I42" s="202">
        <v>30</v>
      </c>
      <c r="J42" s="317"/>
      <c r="K42" s="317"/>
      <c r="L42" s="321"/>
      <c r="M42" s="317"/>
      <c r="N42" s="317"/>
      <c r="O42" s="317"/>
      <c r="P42" s="317"/>
      <c r="Q42" s="232">
        <v>0.8</v>
      </c>
      <c r="R42" s="233">
        <f t="shared" si="2"/>
        <v>24</v>
      </c>
      <c r="S42" s="235">
        <v>3923100000</v>
      </c>
      <c r="T42" s="236" t="s">
        <v>69</v>
      </c>
    </row>
    <row r="43" spans="1:20" ht="18" customHeight="1">
      <c r="A43" s="320">
        <v>9</v>
      </c>
      <c r="B43" s="329" t="s">
        <v>77</v>
      </c>
      <c r="C43" s="207" t="s">
        <v>60</v>
      </c>
      <c r="D43" s="203" t="s">
        <v>61</v>
      </c>
      <c r="E43" s="208" t="s">
        <v>41</v>
      </c>
      <c r="F43" s="202" t="s">
        <v>62</v>
      </c>
      <c r="G43" s="208" t="s">
        <v>41</v>
      </c>
      <c r="H43" s="202" t="s">
        <v>63</v>
      </c>
      <c r="I43" s="202">
        <v>48</v>
      </c>
      <c r="J43" s="316">
        <f t="shared" si="7"/>
        <v>12.7</v>
      </c>
      <c r="K43" s="316">
        <v>14.2</v>
      </c>
      <c r="L43" s="320">
        <v>1</v>
      </c>
      <c r="M43" s="316">
        <f t="shared" si="8"/>
        <v>14.233333333333333</v>
      </c>
      <c r="N43" s="316">
        <v>61</v>
      </c>
      <c r="O43" s="316">
        <v>40</v>
      </c>
      <c r="P43" s="316">
        <v>35</v>
      </c>
      <c r="Q43" s="232">
        <v>0.8</v>
      </c>
      <c r="R43" s="233">
        <f t="shared" si="2"/>
        <v>38.400000000000006</v>
      </c>
      <c r="S43" s="235">
        <v>9613800000</v>
      </c>
      <c r="T43" s="236" t="s">
        <v>64</v>
      </c>
    </row>
    <row r="44" spans="1:20" ht="18" customHeight="1">
      <c r="A44" s="321"/>
      <c r="B44" s="321"/>
      <c r="C44" s="207" t="s">
        <v>65</v>
      </c>
      <c r="D44" s="203" t="s">
        <v>66</v>
      </c>
      <c r="E44" s="208" t="s">
        <v>41</v>
      </c>
      <c r="F44" s="202" t="s">
        <v>67</v>
      </c>
      <c r="G44" s="208" t="s">
        <v>41</v>
      </c>
      <c r="H44" s="202" t="s">
        <v>68</v>
      </c>
      <c r="I44" s="202">
        <v>30</v>
      </c>
      <c r="J44" s="317"/>
      <c r="K44" s="317"/>
      <c r="L44" s="321"/>
      <c r="M44" s="317"/>
      <c r="N44" s="317"/>
      <c r="O44" s="317"/>
      <c r="P44" s="317"/>
      <c r="Q44" s="232">
        <v>0.8</v>
      </c>
      <c r="R44" s="233">
        <f t="shared" si="2"/>
        <v>24</v>
      </c>
      <c r="S44" s="235">
        <v>3923100000</v>
      </c>
      <c r="T44" s="236" t="s">
        <v>69</v>
      </c>
    </row>
    <row r="45" spans="1:20" ht="18" customHeight="1">
      <c r="A45" s="320">
        <v>10</v>
      </c>
      <c r="B45" s="329" t="s">
        <v>78</v>
      </c>
      <c r="C45" s="207" t="s">
        <v>60</v>
      </c>
      <c r="D45" s="203" t="s">
        <v>61</v>
      </c>
      <c r="E45" s="208" t="s">
        <v>41</v>
      </c>
      <c r="F45" s="202" t="s">
        <v>62</v>
      </c>
      <c r="G45" s="208" t="s">
        <v>41</v>
      </c>
      <c r="H45" s="202" t="s">
        <v>63</v>
      </c>
      <c r="I45" s="202">
        <v>48</v>
      </c>
      <c r="J45" s="316">
        <f t="shared" si="7"/>
        <v>12.7</v>
      </c>
      <c r="K45" s="316">
        <v>14.2</v>
      </c>
      <c r="L45" s="320">
        <v>1</v>
      </c>
      <c r="M45" s="316">
        <f t="shared" si="8"/>
        <v>14.233333333333333</v>
      </c>
      <c r="N45" s="316">
        <v>61</v>
      </c>
      <c r="O45" s="316">
        <v>40</v>
      </c>
      <c r="P45" s="316">
        <v>35</v>
      </c>
      <c r="Q45" s="232">
        <v>0.8</v>
      </c>
      <c r="R45" s="233">
        <f t="shared" si="2"/>
        <v>38.400000000000006</v>
      </c>
      <c r="S45" s="235">
        <v>9613800000</v>
      </c>
      <c r="T45" s="236" t="s">
        <v>64</v>
      </c>
    </row>
    <row r="46" spans="1:20" ht="18" customHeight="1">
      <c r="A46" s="321"/>
      <c r="B46" s="321"/>
      <c r="C46" s="207" t="s">
        <v>65</v>
      </c>
      <c r="D46" s="203" t="s">
        <v>66</v>
      </c>
      <c r="E46" s="208" t="s">
        <v>41</v>
      </c>
      <c r="F46" s="202" t="s">
        <v>67</v>
      </c>
      <c r="G46" s="208" t="s">
        <v>41</v>
      </c>
      <c r="H46" s="202" t="s">
        <v>68</v>
      </c>
      <c r="I46" s="202">
        <v>32</v>
      </c>
      <c r="J46" s="317"/>
      <c r="K46" s="317"/>
      <c r="L46" s="321"/>
      <c r="M46" s="317"/>
      <c r="N46" s="317"/>
      <c r="O46" s="317"/>
      <c r="P46" s="317"/>
      <c r="Q46" s="232">
        <v>0.8</v>
      </c>
      <c r="R46" s="233">
        <f t="shared" si="2"/>
        <v>25.6</v>
      </c>
      <c r="S46" s="235">
        <v>3923100000</v>
      </c>
      <c r="T46" s="236" t="s">
        <v>69</v>
      </c>
    </row>
    <row r="47" spans="1:20" ht="18" customHeight="1">
      <c r="A47" s="200">
        <v>1</v>
      </c>
      <c r="B47" s="209" t="s">
        <v>79</v>
      </c>
      <c r="C47" s="210" t="s">
        <v>80</v>
      </c>
      <c r="D47" s="203" t="s">
        <v>81</v>
      </c>
      <c r="E47" s="208" t="s">
        <v>41</v>
      </c>
      <c r="F47" s="202" t="s">
        <v>82</v>
      </c>
      <c r="G47" s="208" t="s">
        <v>41</v>
      </c>
      <c r="H47" s="202" t="s">
        <v>83</v>
      </c>
      <c r="I47" s="223">
        <v>204</v>
      </c>
      <c r="J47" s="221">
        <f t="shared" ref="J47:J50" si="9">K47-1.5</f>
        <v>22.25</v>
      </c>
      <c r="K47" s="221">
        <v>23.75</v>
      </c>
      <c r="L47" s="222">
        <v>1</v>
      </c>
      <c r="M47" s="221">
        <f t="shared" ref="M47:M50" si="10">N47*O47*P47/6000</f>
        <v>14.233333333333333</v>
      </c>
      <c r="N47" s="224">
        <v>61</v>
      </c>
      <c r="O47" s="225">
        <v>40</v>
      </c>
      <c r="P47" s="225">
        <v>35</v>
      </c>
      <c r="Q47" s="232">
        <v>0.9</v>
      </c>
      <c r="R47" s="233">
        <f t="shared" si="2"/>
        <v>183.6</v>
      </c>
      <c r="S47" s="221">
        <v>9609900000</v>
      </c>
      <c r="T47" s="200" t="s">
        <v>84</v>
      </c>
    </row>
    <row r="48" spans="1:20" ht="18" customHeight="1">
      <c r="A48" s="318">
        <v>1</v>
      </c>
      <c r="B48" s="330" t="s">
        <v>85</v>
      </c>
      <c r="C48" s="211" t="s">
        <v>86</v>
      </c>
      <c r="D48" s="203" t="s">
        <v>87</v>
      </c>
      <c r="E48" s="208" t="s">
        <v>41</v>
      </c>
      <c r="F48" s="212" t="s">
        <v>88</v>
      </c>
      <c r="G48" s="208" t="s">
        <v>41</v>
      </c>
      <c r="H48" s="212" t="s">
        <v>89</v>
      </c>
      <c r="I48" s="212">
        <v>30</v>
      </c>
      <c r="J48" s="318">
        <f t="shared" si="9"/>
        <v>11</v>
      </c>
      <c r="K48" s="318">
        <v>12.5</v>
      </c>
      <c r="L48" s="318">
        <v>1</v>
      </c>
      <c r="M48" s="318">
        <f t="shared" si="10"/>
        <v>21.56</v>
      </c>
      <c r="N48" s="318">
        <v>44</v>
      </c>
      <c r="O48" s="318">
        <v>60</v>
      </c>
      <c r="P48" s="318">
        <v>49</v>
      </c>
      <c r="Q48" s="232">
        <v>0.8</v>
      </c>
      <c r="R48" s="233">
        <f t="shared" si="2"/>
        <v>24</v>
      </c>
      <c r="S48" s="212">
        <v>8538900000</v>
      </c>
      <c r="T48" s="215" t="s">
        <v>90</v>
      </c>
    </row>
    <row r="49" spans="1:20" ht="18" customHeight="1">
      <c r="A49" s="319"/>
      <c r="B49" s="331"/>
      <c r="C49" s="211" t="s">
        <v>91</v>
      </c>
      <c r="D49" s="203" t="s">
        <v>92</v>
      </c>
      <c r="E49" s="208" t="s">
        <v>41</v>
      </c>
      <c r="F49" s="212" t="s">
        <v>93</v>
      </c>
      <c r="G49" s="208" t="s">
        <v>41</v>
      </c>
      <c r="H49" s="212" t="s">
        <v>94</v>
      </c>
      <c r="I49" s="212">
        <v>30</v>
      </c>
      <c r="J49" s="319"/>
      <c r="K49" s="319"/>
      <c r="L49" s="319"/>
      <c r="M49" s="319"/>
      <c r="N49" s="319"/>
      <c r="O49" s="319"/>
      <c r="P49" s="319"/>
      <c r="Q49" s="232">
        <v>0.8</v>
      </c>
      <c r="R49" s="233">
        <f t="shared" si="2"/>
        <v>24</v>
      </c>
      <c r="S49" s="212">
        <v>9506919000</v>
      </c>
      <c r="T49" s="237" t="s">
        <v>95</v>
      </c>
    </row>
    <row r="50" spans="1:20" ht="18" customHeight="1">
      <c r="A50" s="311">
        <v>2</v>
      </c>
      <c r="B50" s="311" t="s">
        <v>96</v>
      </c>
      <c r="C50" s="214" t="s">
        <v>97</v>
      </c>
      <c r="D50" s="203" t="s">
        <v>98</v>
      </c>
      <c r="E50" s="208" t="s">
        <v>41</v>
      </c>
      <c r="F50" s="215" t="s">
        <v>99</v>
      </c>
      <c r="G50" s="208" t="s">
        <v>41</v>
      </c>
      <c r="H50" s="215" t="s">
        <v>100</v>
      </c>
      <c r="I50" s="212">
        <v>29</v>
      </c>
      <c r="J50" s="311">
        <f t="shared" si="9"/>
        <v>11.7</v>
      </c>
      <c r="K50" s="311">
        <v>13.2</v>
      </c>
      <c r="L50" s="311">
        <v>1</v>
      </c>
      <c r="M50" s="311">
        <f t="shared" si="10"/>
        <v>23.03</v>
      </c>
      <c r="N50" s="311">
        <v>60</v>
      </c>
      <c r="O50" s="311">
        <v>49</v>
      </c>
      <c r="P50" s="311">
        <v>47</v>
      </c>
      <c r="Q50" s="232">
        <v>0.8</v>
      </c>
      <c r="R50" s="233">
        <f t="shared" si="2"/>
        <v>23.200000000000003</v>
      </c>
      <c r="S50" s="212">
        <v>3923290000</v>
      </c>
      <c r="T50" s="215" t="s">
        <v>101</v>
      </c>
    </row>
    <row r="51" spans="1:20" ht="18" customHeight="1">
      <c r="A51" s="312"/>
      <c r="B51" s="312"/>
      <c r="C51" s="214" t="s">
        <v>102</v>
      </c>
      <c r="D51" s="203" t="s">
        <v>103</v>
      </c>
      <c r="E51" s="208" t="s">
        <v>41</v>
      </c>
      <c r="F51" s="215" t="s">
        <v>104</v>
      </c>
      <c r="G51" s="208" t="s">
        <v>41</v>
      </c>
      <c r="H51" s="215" t="s">
        <v>100</v>
      </c>
      <c r="I51" s="212">
        <v>30</v>
      </c>
      <c r="J51" s="312"/>
      <c r="K51" s="312"/>
      <c r="L51" s="312"/>
      <c r="M51" s="312"/>
      <c r="N51" s="312"/>
      <c r="O51" s="312"/>
      <c r="P51" s="312"/>
      <c r="Q51" s="232">
        <v>0.8</v>
      </c>
      <c r="R51" s="233">
        <f t="shared" si="2"/>
        <v>24</v>
      </c>
      <c r="S51" s="212">
        <v>9403100000</v>
      </c>
      <c r="T51" s="237" t="s">
        <v>105</v>
      </c>
    </row>
    <row r="52" spans="1:20" ht="18" customHeight="1">
      <c r="A52" s="311">
        <v>3</v>
      </c>
      <c r="B52" s="311" t="s">
        <v>106</v>
      </c>
      <c r="C52" s="214" t="s">
        <v>107</v>
      </c>
      <c r="D52" s="203" t="s">
        <v>108</v>
      </c>
      <c r="E52" s="208" t="s">
        <v>41</v>
      </c>
      <c r="F52" s="215" t="s">
        <v>109</v>
      </c>
      <c r="G52" s="208" t="s">
        <v>41</v>
      </c>
      <c r="H52" s="215" t="s">
        <v>89</v>
      </c>
      <c r="I52" s="212">
        <v>30</v>
      </c>
      <c r="J52" s="311">
        <f>K52-1.5</f>
        <v>8.9499999999999993</v>
      </c>
      <c r="K52" s="311">
        <v>10.45</v>
      </c>
      <c r="L52" s="311">
        <v>1</v>
      </c>
      <c r="M52" s="311">
        <f>N52*O52*P52/6000</f>
        <v>14.288</v>
      </c>
      <c r="N52" s="311">
        <v>38</v>
      </c>
      <c r="O52" s="311">
        <v>47</v>
      </c>
      <c r="P52" s="311">
        <v>48</v>
      </c>
      <c r="Q52" s="232">
        <v>0.8</v>
      </c>
      <c r="R52" s="233">
        <f t="shared" si="2"/>
        <v>24</v>
      </c>
      <c r="S52" s="212">
        <v>8214200000</v>
      </c>
      <c r="T52" s="215" t="s">
        <v>110</v>
      </c>
    </row>
    <row r="53" spans="1:20" ht="18" customHeight="1">
      <c r="A53" s="312"/>
      <c r="B53" s="312"/>
      <c r="C53" s="214" t="s">
        <v>111</v>
      </c>
      <c r="D53" s="203" t="s">
        <v>112</v>
      </c>
      <c r="E53" s="208" t="s">
        <v>41</v>
      </c>
      <c r="F53" s="215" t="s">
        <v>93</v>
      </c>
      <c r="G53" s="208" t="s">
        <v>41</v>
      </c>
      <c r="H53" s="215" t="s">
        <v>113</v>
      </c>
      <c r="I53" s="212">
        <v>30</v>
      </c>
      <c r="J53" s="312"/>
      <c r="K53" s="312"/>
      <c r="L53" s="312"/>
      <c r="M53" s="312"/>
      <c r="N53" s="312"/>
      <c r="O53" s="312"/>
      <c r="P53" s="312"/>
      <c r="Q53" s="232">
        <v>0.8</v>
      </c>
      <c r="R53" s="233">
        <f t="shared" si="2"/>
        <v>24</v>
      </c>
      <c r="S53" s="212">
        <v>9021100000</v>
      </c>
      <c r="T53" s="215" t="s">
        <v>114</v>
      </c>
    </row>
    <row r="54" spans="1:20" ht="18" customHeight="1">
      <c r="A54" s="312"/>
      <c r="B54" s="312"/>
      <c r="C54" s="215" t="s">
        <v>115</v>
      </c>
      <c r="D54" s="203" t="s">
        <v>116</v>
      </c>
      <c r="E54" s="208" t="s">
        <v>41</v>
      </c>
      <c r="F54" s="215" t="s">
        <v>117</v>
      </c>
      <c r="G54" s="208" t="s">
        <v>41</v>
      </c>
      <c r="H54" s="215" t="s">
        <v>113</v>
      </c>
      <c r="I54" s="212">
        <v>30</v>
      </c>
      <c r="J54" s="312"/>
      <c r="K54" s="312"/>
      <c r="L54" s="312"/>
      <c r="M54" s="312"/>
      <c r="N54" s="312"/>
      <c r="O54" s="312"/>
      <c r="P54" s="312"/>
      <c r="Q54" s="232">
        <v>0.8</v>
      </c>
      <c r="R54" s="233">
        <f t="shared" si="2"/>
        <v>24</v>
      </c>
      <c r="S54" s="212">
        <v>6117809000</v>
      </c>
      <c r="T54" s="215" t="s">
        <v>118</v>
      </c>
    </row>
    <row r="55" spans="1:20" ht="18" customHeight="1">
      <c r="A55" s="311">
        <v>4</v>
      </c>
      <c r="B55" s="311" t="s">
        <v>119</v>
      </c>
      <c r="C55" s="215" t="s">
        <v>120</v>
      </c>
      <c r="D55" s="203" t="s">
        <v>121</v>
      </c>
      <c r="E55" s="208" t="s">
        <v>41</v>
      </c>
      <c r="F55" s="215" t="s">
        <v>122</v>
      </c>
      <c r="G55" s="208" t="s">
        <v>41</v>
      </c>
      <c r="H55" s="215" t="s">
        <v>113</v>
      </c>
      <c r="I55" s="212">
        <v>27</v>
      </c>
      <c r="J55" s="311">
        <f>K55-1.5</f>
        <v>15.2</v>
      </c>
      <c r="K55" s="311">
        <v>16.7</v>
      </c>
      <c r="L55" s="311">
        <v>1</v>
      </c>
      <c r="M55" s="311">
        <f>N55*O55*P55/6000</f>
        <v>17.672000000000001</v>
      </c>
      <c r="N55" s="311">
        <v>47</v>
      </c>
      <c r="O55" s="311">
        <v>48</v>
      </c>
      <c r="P55" s="311">
        <v>47</v>
      </c>
      <c r="Q55" s="232">
        <v>0.8</v>
      </c>
      <c r="R55" s="233">
        <f t="shared" si="2"/>
        <v>21.6</v>
      </c>
      <c r="S55" s="212">
        <v>9506919000</v>
      </c>
      <c r="T55" s="215" t="s">
        <v>123</v>
      </c>
    </row>
    <row r="56" spans="1:20" ht="18" customHeight="1">
      <c r="A56" s="312"/>
      <c r="B56" s="312"/>
      <c r="C56" s="214" t="s">
        <v>124</v>
      </c>
      <c r="D56" s="203" t="s">
        <v>125</v>
      </c>
      <c r="E56" s="208" t="s">
        <v>41</v>
      </c>
      <c r="F56" s="215" t="s">
        <v>126</v>
      </c>
      <c r="G56" s="208" t="s">
        <v>41</v>
      </c>
      <c r="H56" s="215" t="s">
        <v>113</v>
      </c>
      <c r="I56" s="212">
        <v>20</v>
      </c>
      <c r="J56" s="312"/>
      <c r="K56" s="312"/>
      <c r="L56" s="312"/>
      <c r="M56" s="312"/>
      <c r="N56" s="312"/>
      <c r="O56" s="312"/>
      <c r="P56" s="312"/>
      <c r="Q56" s="232">
        <v>0.8</v>
      </c>
      <c r="R56" s="233">
        <f t="shared" si="2"/>
        <v>16</v>
      </c>
      <c r="S56" s="212">
        <v>4205001090</v>
      </c>
      <c r="T56" s="215" t="s">
        <v>127</v>
      </c>
    </row>
    <row r="57" spans="1:20" ht="18" customHeight="1">
      <c r="A57" s="312"/>
      <c r="B57" s="312"/>
      <c r="C57" s="214" t="s">
        <v>128</v>
      </c>
      <c r="D57" s="203" t="s">
        <v>129</v>
      </c>
      <c r="E57" s="208" t="s">
        <v>41</v>
      </c>
      <c r="F57" s="215" t="s">
        <v>117</v>
      </c>
      <c r="G57" s="208" t="s">
        <v>41</v>
      </c>
      <c r="H57" s="215" t="s">
        <v>130</v>
      </c>
      <c r="I57" s="212">
        <v>30</v>
      </c>
      <c r="J57" s="312"/>
      <c r="K57" s="312"/>
      <c r="L57" s="312"/>
      <c r="M57" s="312"/>
      <c r="N57" s="312"/>
      <c r="O57" s="312"/>
      <c r="P57" s="312"/>
      <c r="Q57" s="232">
        <v>0.8</v>
      </c>
      <c r="R57" s="233">
        <f t="shared" si="2"/>
        <v>24</v>
      </c>
      <c r="S57" s="212">
        <v>3921135000</v>
      </c>
      <c r="T57" s="215" t="s">
        <v>131</v>
      </c>
    </row>
    <row r="58" spans="1:20" ht="18" customHeight="1">
      <c r="A58" s="311">
        <v>5</v>
      </c>
      <c r="B58" s="311" t="s">
        <v>132</v>
      </c>
      <c r="C58" s="214" t="s">
        <v>133</v>
      </c>
      <c r="D58" s="203" t="s">
        <v>134</v>
      </c>
      <c r="E58" s="208" t="s">
        <v>41</v>
      </c>
      <c r="F58" s="215" t="s">
        <v>135</v>
      </c>
      <c r="G58" s="208" t="s">
        <v>41</v>
      </c>
      <c r="H58" s="215" t="s">
        <v>89</v>
      </c>
      <c r="I58" s="212">
        <v>30</v>
      </c>
      <c r="J58" s="311">
        <f t="shared" ref="J58:J62" si="11">K58-1.5</f>
        <v>15.05</v>
      </c>
      <c r="K58" s="311">
        <v>16.55</v>
      </c>
      <c r="L58" s="311">
        <v>1</v>
      </c>
      <c r="M58" s="311">
        <f t="shared" ref="M58:M62" si="12">N58*O58*P58/6000</f>
        <v>14.208</v>
      </c>
      <c r="N58" s="311">
        <v>37</v>
      </c>
      <c r="O58" s="311">
        <v>48</v>
      </c>
      <c r="P58" s="311">
        <v>48</v>
      </c>
      <c r="Q58" s="232">
        <v>0.8</v>
      </c>
      <c r="R58" s="233">
        <f t="shared" si="2"/>
        <v>24</v>
      </c>
      <c r="S58" s="212">
        <v>7319900000</v>
      </c>
      <c r="T58" s="215" t="s">
        <v>136</v>
      </c>
    </row>
    <row r="59" spans="1:20" ht="18" customHeight="1">
      <c r="A59" s="312"/>
      <c r="B59" s="312"/>
      <c r="C59" s="214" t="s">
        <v>124</v>
      </c>
      <c r="D59" s="203" t="s">
        <v>125</v>
      </c>
      <c r="E59" s="208" t="s">
        <v>41</v>
      </c>
      <c r="F59" s="215" t="s">
        <v>126</v>
      </c>
      <c r="G59" s="208" t="s">
        <v>41</v>
      </c>
      <c r="H59" s="215" t="s">
        <v>113</v>
      </c>
      <c r="I59" s="212">
        <v>10</v>
      </c>
      <c r="J59" s="312"/>
      <c r="K59" s="312"/>
      <c r="L59" s="312"/>
      <c r="M59" s="312"/>
      <c r="N59" s="312"/>
      <c r="O59" s="312"/>
      <c r="P59" s="312"/>
      <c r="Q59" s="232">
        <v>0.8</v>
      </c>
      <c r="R59" s="233">
        <f t="shared" si="2"/>
        <v>8</v>
      </c>
      <c r="S59" s="212">
        <v>4205001090</v>
      </c>
      <c r="T59" s="215" t="s">
        <v>127</v>
      </c>
    </row>
    <row r="60" spans="1:20" ht="18" customHeight="1">
      <c r="A60" s="312"/>
      <c r="B60" s="312"/>
      <c r="C60" s="214" t="s">
        <v>137</v>
      </c>
      <c r="D60" s="203" t="s">
        <v>138</v>
      </c>
      <c r="E60" s="208" t="s">
        <v>41</v>
      </c>
      <c r="F60" s="215" t="s">
        <v>139</v>
      </c>
      <c r="G60" s="208" t="s">
        <v>41</v>
      </c>
      <c r="H60" s="215" t="s">
        <v>113</v>
      </c>
      <c r="I60" s="212">
        <v>26</v>
      </c>
      <c r="J60" s="312"/>
      <c r="K60" s="312"/>
      <c r="L60" s="312"/>
      <c r="M60" s="312"/>
      <c r="N60" s="312"/>
      <c r="O60" s="312"/>
      <c r="P60" s="312"/>
      <c r="Q60" s="232">
        <v>0.8</v>
      </c>
      <c r="R60" s="233">
        <f t="shared" si="2"/>
        <v>20.8</v>
      </c>
      <c r="S60" s="212">
        <v>9021100000</v>
      </c>
      <c r="T60" s="215" t="s">
        <v>140</v>
      </c>
    </row>
    <row r="61" spans="1:20" ht="18" customHeight="1">
      <c r="A61" s="213">
        <v>6</v>
      </c>
      <c r="B61" s="213" t="s">
        <v>141</v>
      </c>
      <c r="C61" s="214" t="s">
        <v>128</v>
      </c>
      <c r="D61" s="203" t="s">
        <v>129</v>
      </c>
      <c r="E61" s="208" t="s">
        <v>41</v>
      </c>
      <c r="F61" s="215" t="s">
        <v>117</v>
      </c>
      <c r="G61" s="208" t="s">
        <v>41</v>
      </c>
      <c r="H61" s="215" t="s">
        <v>130</v>
      </c>
      <c r="I61" s="212">
        <v>30</v>
      </c>
      <c r="J61" s="213">
        <f t="shared" si="11"/>
        <v>18.25</v>
      </c>
      <c r="K61" s="213">
        <v>19.75</v>
      </c>
      <c r="L61" s="213">
        <v>1</v>
      </c>
      <c r="M61" s="213">
        <f t="shared" si="12"/>
        <v>16.856000000000002</v>
      </c>
      <c r="N61" s="213">
        <v>43</v>
      </c>
      <c r="O61" s="213">
        <v>49</v>
      </c>
      <c r="P61" s="213">
        <v>48</v>
      </c>
      <c r="Q61" s="232">
        <v>0.8</v>
      </c>
      <c r="R61" s="233">
        <f t="shared" si="2"/>
        <v>24</v>
      </c>
      <c r="S61" s="212">
        <v>3921135000</v>
      </c>
      <c r="T61" s="215" t="s">
        <v>142</v>
      </c>
    </row>
    <row r="62" spans="1:20" ht="18" customHeight="1">
      <c r="A62" s="311">
        <v>7</v>
      </c>
      <c r="B62" s="311" t="s">
        <v>143</v>
      </c>
      <c r="C62" s="214" t="s">
        <v>144</v>
      </c>
      <c r="D62" s="203" t="s">
        <v>145</v>
      </c>
      <c r="E62" s="208" t="s">
        <v>41</v>
      </c>
      <c r="F62" s="215" t="s">
        <v>135</v>
      </c>
      <c r="G62" s="208" t="s">
        <v>41</v>
      </c>
      <c r="H62" s="215" t="s">
        <v>100</v>
      </c>
      <c r="I62" s="212">
        <v>30</v>
      </c>
      <c r="J62" s="311">
        <f t="shared" si="11"/>
        <v>12.35</v>
      </c>
      <c r="K62" s="311">
        <v>13.85</v>
      </c>
      <c r="L62" s="311">
        <v>1</v>
      </c>
      <c r="M62" s="311">
        <f t="shared" si="12"/>
        <v>16.167999999999999</v>
      </c>
      <c r="N62" s="311">
        <v>47</v>
      </c>
      <c r="O62" s="311">
        <v>48</v>
      </c>
      <c r="P62" s="311">
        <v>43</v>
      </c>
      <c r="Q62" s="232">
        <v>0.8</v>
      </c>
      <c r="R62" s="233">
        <f t="shared" si="2"/>
        <v>24</v>
      </c>
      <c r="S62" s="212">
        <v>7326909000</v>
      </c>
      <c r="T62" s="237" t="s">
        <v>146</v>
      </c>
    </row>
    <row r="63" spans="1:20" ht="18" customHeight="1">
      <c r="A63" s="312"/>
      <c r="B63" s="312"/>
      <c r="C63" s="214" t="s">
        <v>147</v>
      </c>
      <c r="D63" s="203" t="s">
        <v>148</v>
      </c>
      <c r="E63" s="208" t="s">
        <v>41</v>
      </c>
      <c r="F63" s="215" t="s">
        <v>149</v>
      </c>
      <c r="G63" s="208" t="s">
        <v>41</v>
      </c>
      <c r="H63" s="215" t="s">
        <v>94</v>
      </c>
      <c r="I63" s="212">
        <v>27</v>
      </c>
      <c r="J63" s="312"/>
      <c r="K63" s="312"/>
      <c r="L63" s="312"/>
      <c r="M63" s="312"/>
      <c r="N63" s="312"/>
      <c r="O63" s="312"/>
      <c r="P63" s="312"/>
      <c r="Q63" s="232">
        <v>0.8</v>
      </c>
      <c r="R63" s="233">
        <f t="shared" si="2"/>
        <v>21.6</v>
      </c>
      <c r="S63" s="212">
        <v>5908000000</v>
      </c>
      <c r="T63" s="215" t="s">
        <v>150</v>
      </c>
    </row>
    <row r="64" spans="1:20" ht="18" customHeight="1">
      <c r="A64" s="312"/>
      <c r="B64" s="312"/>
      <c r="C64" s="214" t="s">
        <v>151</v>
      </c>
      <c r="D64" s="203" t="s">
        <v>152</v>
      </c>
      <c r="E64" s="208" t="s">
        <v>41</v>
      </c>
      <c r="F64" s="215" t="s">
        <v>117</v>
      </c>
      <c r="G64" s="208" t="s">
        <v>41</v>
      </c>
      <c r="H64" s="215" t="s">
        <v>113</v>
      </c>
      <c r="I64" s="212">
        <v>30</v>
      </c>
      <c r="J64" s="312"/>
      <c r="K64" s="312"/>
      <c r="L64" s="312"/>
      <c r="M64" s="312"/>
      <c r="N64" s="312"/>
      <c r="O64" s="312"/>
      <c r="P64" s="312"/>
      <c r="Q64" s="232">
        <v>0.8</v>
      </c>
      <c r="R64" s="233">
        <f t="shared" si="2"/>
        <v>24</v>
      </c>
      <c r="S64" s="212">
        <v>9506919000</v>
      </c>
      <c r="T64" s="215" t="s">
        <v>153</v>
      </c>
    </row>
    <row r="65" spans="1:20" ht="18" customHeight="1">
      <c r="A65" s="213">
        <v>8</v>
      </c>
      <c r="B65" s="213" t="s">
        <v>154</v>
      </c>
      <c r="C65" s="214" t="s">
        <v>155</v>
      </c>
      <c r="D65" s="203" t="s">
        <v>156</v>
      </c>
      <c r="E65" s="208" t="s">
        <v>41</v>
      </c>
      <c r="F65" s="215" t="s">
        <v>117</v>
      </c>
      <c r="G65" s="208" t="s">
        <v>41</v>
      </c>
      <c r="H65" s="215" t="s">
        <v>113</v>
      </c>
      <c r="I65" s="212">
        <v>30</v>
      </c>
      <c r="J65" s="213">
        <f t="shared" ref="J65:J73" si="13">K65-1.5</f>
        <v>12.35</v>
      </c>
      <c r="K65" s="213">
        <v>13.85</v>
      </c>
      <c r="L65" s="213">
        <v>1</v>
      </c>
      <c r="M65" s="213">
        <f t="shared" ref="M65:M73" si="14">N65*O65*P65/6000</f>
        <v>8.3655000000000008</v>
      </c>
      <c r="N65" s="213">
        <v>39</v>
      </c>
      <c r="O65" s="213">
        <v>39</v>
      </c>
      <c r="P65" s="213">
        <v>33</v>
      </c>
      <c r="Q65" s="232">
        <v>0.8</v>
      </c>
      <c r="R65" s="233">
        <f t="shared" si="2"/>
        <v>24</v>
      </c>
      <c r="S65" s="212">
        <v>4304002000</v>
      </c>
      <c r="T65" s="215" t="s">
        <v>157</v>
      </c>
    </row>
    <row r="66" spans="1:20" ht="18" customHeight="1">
      <c r="A66" s="311">
        <v>9</v>
      </c>
      <c r="B66" s="311" t="s">
        <v>158</v>
      </c>
      <c r="C66" s="214" t="s">
        <v>159</v>
      </c>
      <c r="D66" s="203" t="s">
        <v>160</v>
      </c>
      <c r="E66" s="208" t="s">
        <v>41</v>
      </c>
      <c r="F66" s="215" t="s">
        <v>117</v>
      </c>
      <c r="G66" s="208" t="s">
        <v>41</v>
      </c>
      <c r="H66" s="215" t="s">
        <v>113</v>
      </c>
      <c r="I66" s="212">
        <v>30</v>
      </c>
      <c r="J66" s="311">
        <f t="shared" si="13"/>
        <v>12.5</v>
      </c>
      <c r="K66" s="311">
        <v>14</v>
      </c>
      <c r="L66" s="311">
        <v>1</v>
      </c>
      <c r="M66" s="311">
        <f t="shared" si="14"/>
        <v>23.03</v>
      </c>
      <c r="N66" s="311">
        <v>60</v>
      </c>
      <c r="O66" s="311">
        <v>49</v>
      </c>
      <c r="P66" s="311">
        <v>47</v>
      </c>
      <c r="Q66" s="232">
        <v>0.8</v>
      </c>
      <c r="R66" s="233">
        <f t="shared" si="2"/>
        <v>24</v>
      </c>
      <c r="S66" s="212">
        <v>3926909090</v>
      </c>
      <c r="T66" s="215" t="s">
        <v>161</v>
      </c>
    </row>
    <row r="67" spans="1:20" ht="18" customHeight="1">
      <c r="A67" s="312"/>
      <c r="B67" s="312"/>
      <c r="C67" s="214" t="s">
        <v>91</v>
      </c>
      <c r="D67" s="203" t="s">
        <v>92</v>
      </c>
      <c r="E67" s="208" t="s">
        <v>41</v>
      </c>
      <c r="F67" s="215" t="s">
        <v>93</v>
      </c>
      <c r="G67" s="208" t="s">
        <v>41</v>
      </c>
      <c r="H67" s="215" t="s">
        <v>94</v>
      </c>
      <c r="I67" s="212">
        <v>29</v>
      </c>
      <c r="J67" s="312"/>
      <c r="K67" s="312"/>
      <c r="L67" s="312"/>
      <c r="M67" s="312"/>
      <c r="N67" s="312"/>
      <c r="O67" s="312"/>
      <c r="P67" s="312"/>
      <c r="Q67" s="232">
        <v>0.8</v>
      </c>
      <c r="R67" s="233">
        <f t="shared" si="2"/>
        <v>23.200000000000003</v>
      </c>
      <c r="S67" s="212">
        <v>9506919000</v>
      </c>
      <c r="T67" s="215" t="s">
        <v>162</v>
      </c>
    </row>
    <row r="68" spans="1:20" ht="18" customHeight="1">
      <c r="A68" s="312"/>
      <c r="B68" s="312"/>
      <c r="C68" s="214" t="s">
        <v>163</v>
      </c>
      <c r="D68" s="203" t="s">
        <v>164</v>
      </c>
      <c r="E68" s="208" t="s">
        <v>41</v>
      </c>
      <c r="F68" s="215" t="s">
        <v>165</v>
      </c>
      <c r="G68" s="208" t="s">
        <v>41</v>
      </c>
      <c r="H68" s="215" t="s">
        <v>113</v>
      </c>
      <c r="I68" s="212">
        <v>30</v>
      </c>
      <c r="J68" s="312"/>
      <c r="K68" s="312"/>
      <c r="L68" s="312"/>
      <c r="M68" s="312"/>
      <c r="N68" s="312"/>
      <c r="O68" s="312"/>
      <c r="P68" s="312"/>
      <c r="Q68" s="232">
        <v>0.8</v>
      </c>
      <c r="R68" s="233">
        <f t="shared" si="2"/>
        <v>24</v>
      </c>
      <c r="S68" s="212">
        <v>9506919000</v>
      </c>
      <c r="T68" s="215" t="s">
        <v>166</v>
      </c>
    </row>
    <row r="69" spans="1:20" ht="18" customHeight="1">
      <c r="A69" s="213">
        <v>10</v>
      </c>
      <c r="B69" s="213" t="s">
        <v>167</v>
      </c>
      <c r="C69" s="214" t="s">
        <v>124</v>
      </c>
      <c r="D69" s="203" t="s">
        <v>125</v>
      </c>
      <c r="E69" s="208" t="s">
        <v>41</v>
      </c>
      <c r="F69" s="215" t="s">
        <v>168</v>
      </c>
      <c r="G69" s="208" t="s">
        <v>41</v>
      </c>
      <c r="H69" s="215" t="s">
        <v>113</v>
      </c>
      <c r="I69" s="212">
        <v>15</v>
      </c>
      <c r="J69" s="213">
        <f t="shared" si="13"/>
        <v>12.85</v>
      </c>
      <c r="K69" s="213">
        <v>14.35</v>
      </c>
      <c r="L69" s="213">
        <v>1</v>
      </c>
      <c r="M69" s="213">
        <f t="shared" si="14"/>
        <v>17.672000000000001</v>
      </c>
      <c r="N69" s="213">
        <v>47</v>
      </c>
      <c r="O69" s="213">
        <v>48</v>
      </c>
      <c r="P69" s="213">
        <v>47</v>
      </c>
      <c r="Q69" s="232">
        <v>0.8</v>
      </c>
      <c r="R69" s="233">
        <f t="shared" si="2"/>
        <v>12</v>
      </c>
      <c r="S69" s="212">
        <v>6304912940</v>
      </c>
      <c r="T69" s="215" t="s">
        <v>127</v>
      </c>
    </row>
    <row r="70" spans="1:20" ht="18" customHeight="1">
      <c r="A70" s="213">
        <v>11</v>
      </c>
      <c r="B70" s="213" t="s">
        <v>169</v>
      </c>
      <c r="C70" s="214" t="s">
        <v>124</v>
      </c>
      <c r="D70" s="203" t="s">
        <v>125</v>
      </c>
      <c r="E70" s="208" t="s">
        <v>41</v>
      </c>
      <c r="F70" s="215" t="s">
        <v>168</v>
      </c>
      <c r="G70" s="208" t="s">
        <v>41</v>
      </c>
      <c r="H70" s="215" t="s">
        <v>113</v>
      </c>
      <c r="I70" s="212">
        <v>15</v>
      </c>
      <c r="J70" s="213">
        <f t="shared" si="13"/>
        <v>12.75</v>
      </c>
      <c r="K70" s="213">
        <v>14.25</v>
      </c>
      <c r="L70" s="213">
        <v>1</v>
      </c>
      <c r="M70" s="213">
        <f t="shared" si="14"/>
        <v>17.672000000000001</v>
      </c>
      <c r="N70" s="213">
        <v>47</v>
      </c>
      <c r="O70" s="213">
        <v>48</v>
      </c>
      <c r="P70" s="213">
        <v>47</v>
      </c>
      <c r="Q70" s="232">
        <v>0.8</v>
      </c>
      <c r="R70" s="233">
        <f t="shared" si="2"/>
        <v>12</v>
      </c>
      <c r="S70" s="212">
        <v>6304912940</v>
      </c>
      <c r="T70" s="215" t="s">
        <v>127</v>
      </c>
    </row>
    <row r="71" spans="1:20" ht="18" customHeight="1">
      <c r="A71" s="213">
        <v>12</v>
      </c>
      <c r="B71" s="213" t="s">
        <v>170</v>
      </c>
      <c r="C71" s="214" t="s">
        <v>124</v>
      </c>
      <c r="D71" s="203" t="s">
        <v>125</v>
      </c>
      <c r="E71" s="208" t="s">
        <v>41</v>
      </c>
      <c r="F71" s="215" t="s">
        <v>171</v>
      </c>
      <c r="G71" s="208" t="s">
        <v>41</v>
      </c>
      <c r="H71" s="215" t="s">
        <v>113</v>
      </c>
      <c r="I71" s="212">
        <v>22</v>
      </c>
      <c r="J71" s="213">
        <f t="shared" si="13"/>
        <v>16.149999999999999</v>
      </c>
      <c r="K71" s="213">
        <v>17.649999999999999</v>
      </c>
      <c r="L71" s="213">
        <v>1</v>
      </c>
      <c r="M71" s="213">
        <f t="shared" si="14"/>
        <v>17.672000000000001</v>
      </c>
      <c r="N71" s="213">
        <v>47</v>
      </c>
      <c r="O71" s="213">
        <v>48</v>
      </c>
      <c r="P71" s="213">
        <v>47</v>
      </c>
      <c r="Q71" s="232">
        <v>0.8</v>
      </c>
      <c r="R71" s="233">
        <f t="shared" si="2"/>
        <v>17.600000000000001</v>
      </c>
      <c r="S71" s="212">
        <v>6304912940</v>
      </c>
      <c r="T71" s="215" t="s">
        <v>127</v>
      </c>
    </row>
    <row r="72" spans="1:20" ht="18" customHeight="1">
      <c r="A72" s="213">
        <v>13</v>
      </c>
      <c r="B72" s="213" t="s">
        <v>172</v>
      </c>
      <c r="C72" s="214" t="s">
        <v>124</v>
      </c>
      <c r="D72" s="203" t="s">
        <v>125</v>
      </c>
      <c r="E72" s="208" t="s">
        <v>41</v>
      </c>
      <c r="F72" s="215" t="s">
        <v>171</v>
      </c>
      <c r="G72" s="208" t="s">
        <v>41</v>
      </c>
      <c r="H72" s="215" t="s">
        <v>113</v>
      </c>
      <c r="I72" s="212">
        <v>22</v>
      </c>
      <c r="J72" s="213">
        <f t="shared" si="13"/>
        <v>11.4</v>
      </c>
      <c r="K72" s="213">
        <v>12.9</v>
      </c>
      <c r="L72" s="213">
        <v>1</v>
      </c>
      <c r="M72" s="213">
        <f t="shared" si="14"/>
        <v>17.672000000000001</v>
      </c>
      <c r="N72" s="213">
        <v>47</v>
      </c>
      <c r="O72" s="213">
        <v>48</v>
      </c>
      <c r="P72" s="213">
        <v>47</v>
      </c>
      <c r="Q72" s="232">
        <v>0.8</v>
      </c>
      <c r="R72" s="233">
        <f t="shared" si="2"/>
        <v>17.600000000000001</v>
      </c>
      <c r="S72" s="212">
        <v>6304912940</v>
      </c>
      <c r="T72" s="215" t="s">
        <v>127</v>
      </c>
    </row>
    <row r="73" spans="1:20" ht="18" customHeight="1">
      <c r="A73" s="311">
        <v>14</v>
      </c>
      <c r="B73" s="311" t="s">
        <v>173</v>
      </c>
      <c r="C73" s="214" t="s">
        <v>174</v>
      </c>
      <c r="D73" s="203" t="s">
        <v>175</v>
      </c>
      <c r="E73" s="208" t="s">
        <v>41</v>
      </c>
      <c r="F73" s="215" t="s">
        <v>117</v>
      </c>
      <c r="G73" s="208" t="s">
        <v>41</v>
      </c>
      <c r="H73" s="215" t="s">
        <v>113</v>
      </c>
      <c r="I73" s="212">
        <v>30</v>
      </c>
      <c r="J73" s="311">
        <f t="shared" si="13"/>
        <v>9.25</v>
      </c>
      <c r="K73" s="311">
        <v>10.75</v>
      </c>
      <c r="L73" s="311">
        <v>1</v>
      </c>
      <c r="M73" s="311">
        <f t="shared" si="14"/>
        <v>17.672000000000001</v>
      </c>
      <c r="N73" s="311">
        <v>47</v>
      </c>
      <c r="O73" s="311">
        <v>48</v>
      </c>
      <c r="P73" s="311">
        <v>47</v>
      </c>
      <c r="Q73" s="232">
        <v>0.8</v>
      </c>
      <c r="R73" s="233">
        <f t="shared" si="2"/>
        <v>24</v>
      </c>
      <c r="S73" s="212">
        <v>9021100000</v>
      </c>
      <c r="T73" s="215" t="s">
        <v>176</v>
      </c>
    </row>
    <row r="74" spans="1:20" ht="18" customHeight="1">
      <c r="A74" s="312"/>
      <c r="B74" s="312"/>
      <c r="C74" s="214" t="s">
        <v>177</v>
      </c>
      <c r="D74" s="203" t="s">
        <v>178</v>
      </c>
      <c r="E74" s="208" t="s">
        <v>41</v>
      </c>
      <c r="F74" s="215" t="s">
        <v>99</v>
      </c>
      <c r="G74" s="208" t="s">
        <v>41</v>
      </c>
      <c r="H74" s="215" t="s">
        <v>94</v>
      </c>
      <c r="I74" s="212">
        <v>2</v>
      </c>
      <c r="J74" s="312"/>
      <c r="K74" s="312"/>
      <c r="L74" s="312"/>
      <c r="M74" s="312"/>
      <c r="N74" s="312"/>
      <c r="O74" s="312"/>
      <c r="P74" s="312"/>
      <c r="Q74" s="232">
        <v>0.8</v>
      </c>
      <c r="R74" s="233">
        <f t="shared" si="2"/>
        <v>1.6</v>
      </c>
      <c r="S74" s="212">
        <v>3926909090</v>
      </c>
      <c r="T74" s="215" t="s">
        <v>179</v>
      </c>
    </row>
    <row r="75" spans="1:20" ht="18" customHeight="1">
      <c r="A75" s="312"/>
      <c r="B75" s="312"/>
      <c r="C75" s="214" t="s">
        <v>180</v>
      </c>
      <c r="D75" s="203" t="s">
        <v>181</v>
      </c>
      <c r="E75" s="208" t="s">
        <v>41</v>
      </c>
      <c r="F75" s="215" t="s">
        <v>182</v>
      </c>
      <c r="G75" s="208" t="s">
        <v>41</v>
      </c>
      <c r="H75" s="215" t="s">
        <v>113</v>
      </c>
      <c r="I75" s="212">
        <v>30</v>
      </c>
      <c r="J75" s="312"/>
      <c r="K75" s="312"/>
      <c r="L75" s="312"/>
      <c r="M75" s="312"/>
      <c r="N75" s="312"/>
      <c r="O75" s="312"/>
      <c r="P75" s="312"/>
      <c r="Q75" s="232">
        <v>0.8</v>
      </c>
      <c r="R75" s="233">
        <f t="shared" si="2"/>
        <v>24</v>
      </c>
      <c r="S75" s="212">
        <v>4821100000</v>
      </c>
      <c r="T75" s="215" t="s">
        <v>183</v>
      </c>
    </row>
    <row r="76" spans="1:20" ht="18" customHeight="1">
      <c r="A76" s="213">
        <v>15</v>
      </c>
      <c r="B76" s="213" t="s">
        <v>184</v>
      </c>
      <c r="C76" s="214" t="s">
        <v>177</v>
      </c>
      <c r="D76" s="203" t="s">
        <v>178</v>
      </c>
      <c r="E76" s="208" t="s">
        <v>41</v>
      </c>
      <c r="F76" s="215" t="s">
        <v>99</v>
      </c>
      <c r="G76" s="208" t="s">
        <v>41</v>
      </c>
      <c r="H76" s="215" t="s">
        <v>94</v>
      </c>
      <c r="I76" s="212">
        <v>28</v>
      </c>
      <c r="J76" s="213">
        <f t="shared" ref="J76:J82" si="15">K76-1.5</f>
        <v>17.05</v>
      </c>
      <c r="K76" s="213">
        <v>18.55</v>
      </c>
      <c r="L76" s="213">
        <v>1</v>
      </c>
      <c r="M76" s="213">
        <f t="shared" ref="M76:M82" si="16">N76*O76*P76/6000</f>
        <v>17.672000000000001</v>
      </c>
      <c r="N76" s="213">
        <v>47</v>
      </c>
      <c r="O76" s="213">
        <v>48</v>
      </c>
      <c r="P76" s="213">
        <v>47</v>
      </c>
      <c r="Q76" s="232">
        <v>0.8</v>
      </c>
      <c r="R76" s="233">
        <f t="shared" ref="R76:R139" si="17">Q76*I76</f>
        <v>22.400000000000002</v>
      </c>
      <c r="S76" s="212">
        <v>3926909090</v>
      </c>
      <c r="T76" s="215" t="s">
        <v>179</v>
      </c>
    </row>
    <row r="77" spans="1:20" ht="18" customHeight="1">
      <c r="A77" s="311">
        <v>16</v>
      </c>
      <c r="B77" s="311" t="s">
        <v>185</v>
      </c>
      <c r="C77" s="214" t="s">
        <v>124</v>
      </c>
      <c r="D77" s="203" t="s">
        <v>125</v>
      </c>
      <c r="E77" s="208" t="s">
        <v>41</v>
      </c>
      <c r="F77" s="215" t="s">
        <v>171</v>
      </c>
      <c r="G77" s="208" t="s">
        <v>41</v>
      </c>
      <c r="H77" s="215" t="s">
        <v>113</v>
      </c>
      <c r="I77" s="212">
        <v>8</v>
      </c>
      <c r="J77" s="311">
        <f t="shared" si="15"/>
        <v>11.9</v>
      </c>
      <c r="K77" s="311">
        <v>13.4</v>
      </c>
      <c r="L77" s="311">
        <v>1</v>
      </c>
      <c r="M77" s="311">
        <f t="shared" si="16"/>
        <v>17.672000000000001</v>
      </c>
      <c r="N77" s="311">
        <v>47</v>
      </c>
      <c r="O77" s="311">
        <v>48</v>
      </c>
      <c r="P77" s="311">
        <v>47</v>
      </c>
      <c r="Q77" s="232">
        <v>0.8</v>
      </c>
      <c r="R77" s="233">
        <f t="shared" si="17"/>
        <v>6.4</v>
      </c>
      <c r="S77" s="212">
        <v>6304939000</v>
      </c>
      <c r="T77" s="215" t="s">
        <v>127</v>
      </c>
    </row>
    <row r="78" spans="1:20" ht="18" customHeight="1">
      <c r="A78" s="312"/>
      <c r="B78" s="312"/>
      <c r="C78" s="214" t="s">
        <v>186</v>
      </c>
      <c r="D78" s="203" t="s">
        <v>187</v>
      </c>
      <c r="E78" s="208" t="s">
        <v>41</v>
      </c>
      <c r="F78" s="215" t="s">
        <v>188</v>
      </c>
      <c r="G78" s="208" t="s">
        <v>41</v>
      </c>
      <c r="H78" s="215" t="s">
        <v>189</v>
      </c>
      <c r="I78" s="212">
        <v>30</v>
      </c>
      <c r="J78" s="312"/>
      <c r="K78" s="312"/>
      <c r="L78" s="312"/>
      <c r="M78" s="312"/>
      <c r="N78" s="312"/>
      <c r="O78" s="312"/>
      <c r="P78" s="312"/>
      <c r="Q78" s="232">
        <v>0.8</v>
      </c>
      <c r="R78" s="233">
        <f t="shared" si="17"/>
        <v>24</v>
      </c>
      <c r="S78" s="212">
        <v>3926209000</v>
      </c>
      <c r="T78" s="250" t="s">
        <v>190</v>
      </c>
    </row>
    <row r="79" spans="1:20" ht="18" customHeight="1">
      <c r="A79" s="312"/>
      <c r="B79" s="312"/>
      <c r="C79" s="214" t="s">
        <v>151</v>
      </c>
      <c r="D79" s="203" t="s">
        <v>152</v>
      </c>
      <c r="E79" s="208" t="s">
        <v>41</v>
      </c>
      <c r="F79" s="215" t="s">
        <v>165</v>
      </c>
      <c r="G79" s="208" t="s">
        <v>41</v>
      </c>
      <c r="H79" s="215" t="s">
        <v>113</v>
      </c>
      <c r="I79" s="212">
        <v>30</v>
      </c>
      <c r="J79" s="312"/>
      <c r="K79" s="312"/>
      <c r="L79" s="312"/>
      <c r="M79" s="312"/>
      <c r="N79" s="312"/>
      <c r="O79" s="312"/>
      <c r="P79" s="312"/>
      <c r="Q79" s="232">
        <v>0.8</v>
      </c>
      <c r="R79" s="233">
        <f t="shared" si="17"/>
        <v>24</v>
      </c>
      <c r="S79" s="212">
        <v>9506919000</v>
      </c>
      <c r="T79" s="215" t="s">
        <v>191</v>
      </c>
    </row>
    <row r="80" spans="1:20" ht="18" customHeight="1">
      <c r="A80" s="213">
        <v>17</v>
      </c>
      <c r="B80" s="213" t="s">
        <v>192</v>
      </c>
      <c r="C80" s="214" t="s">
        <v>124</v>
      </c>
      <c r="D80" s="203" t="s">
        <v>125</v>
      </c>
      <c r="E80" s="208" t="s">
        <v>41</v>
      </c>
      <c r="F80" s="215" t="s">
        <v>171</v>
      </c>
      <c r="G80" s="208" t="s">
        <v>41</v>
      </c>
      <c r="H80" s="215" t="s">
        <v>113</v>
      </c>
      <c r="I80" s="212">
        <v>15</v>
      </c>
      <c r="J80" s="213">
        <f t="shared" si="15"/>
        <v>13.1</v>
      </c>
      <c r="K80" s="213">
        <v>14.6</v>
      </c>
      <c r="L80" s="213">
        <v>1</v>
      </c>
      <c r="M80" s="213">
        <f t="shared" si="16"/>
        <v>17.672000000000001</v>
      </c>
      <c r="N80" s="213">
        <v>47</v>
      </c>
      <c r="O80" s="213">
        <v>48</v>
      </c>
      <c r="P80" s="213">
        <v>47</v>
      </c>
      <c r="Q80" s="232">
        <v>0.8</v>
      </c>
      <c r="R80" s="233">
        <f t="shared" si="17"/>
        <v>12</v>
      </c>
      <c r="S80" s="212">
        <v>6304939000</v>
      </c>
      <c r="T80" s="215" t="s">
        <v>193</v>
      </c>
    </row>
    <row r="81" spans="1:20" ht="18" customHeight="1">
      <c r="A81" s="213">
        <v>18</v>
      </c>
      <c r="B81" s="213" t="s">
        <v>194</v>
      </c>
      <c r="C81" s="214" t="s">
        <v>124</v>
      </c>
      <c r="D81" s="203" t="s">
        <v>125</v>
      </c>
      <c r="E81" s="208" t="s">
        <v>41</v>
      </c>
      <c r="F81" s="215" t="s">
        <v>171</v>
      </c>
      <c r="G81" s="208" t="s">
        <v>41</v>
      </c>
      <c r="H81" s="215" t="s">
        <v>113</v>
      </c>
      <c r="I81" s="212">
        <v>15</v>
      </c>
      <c r="J81" s="213">
        <f t="shared" si="15"/>
        <v>13.45</v>
      </c>
      <c r="K81" s="213">
        <v>14.95</v>
      </c>
      <c r="L81" s="213">
        <v>1</v>
      </c>
      <c r="M81" s="213">
        <f t="shared" si="16"/>
        <v>17.672000000000001</v>
      </c>
      <c r="N81" s="213">
        <v>47</v>
      </c>
      <c r="O81" s="213">
        <v>48</v>
      </c>
      <c r="P81" s="213">
        <v>47</v>
      </c>
      <c r="Q81" s="232">
        <v>0.8</v>
      </c>
      <c r="R81" s="233">
        <f t="shared" si="17"/>
        <v>12</v>
      </c>
      <c r="S81" s="212">
        <v>6304939000</v>
      </c>
      <c r="T81" s="215" t="s">
        <v>193</v>
      </c>
    </row>
    <row r="82" spans="1:20" ht="18" customHeight="1">
      <c r="A82" s="311">
        <v>19</v>
      </c>
      <c r="B82" s="311" t="s">
        <v>195</v>
      </c>
      <c r="C82" s="214" t="s">
        <v>124</v>
      </c>
      <c r="D82" s="203" t="s">
        <v>125</v>
      </c>
      <c r="E82" s="208" t="s">
        <v>41</v>
      </c>
      <c r="F82" s="215" t="s">
        <v>171</v>
      </c>
      <c r="G82" s="208" t="s">
        <v>41</v>
      </c>
      <c r="H82" s="215" t="s">
        <v>113</v>
      </c>
      <c r="I82" s="212">
        <v>8</v>
      </c>
      <c r="J82" s="311">
        <f t="shared" si="15"/>
        <v>11.6</v>
      </c>
      <c r="K82" s="311">
        <v>13.1</v>
      </c>
      <c r="L82" s="311">
        <v>1</v>
      </c>
      <c r="M82" s="311">
        <f t="shared" si="16"/>
        <v>15.416</v>
      </c>
      <c r="N82" s="311">
        <v>47</v>
      </c>
      <c r="O82" s="311">
        <v>48</v>
      </c>
      <c r="P82" s="311">
        <v>41</v>
      </c>
      <c r="Q82" s="232">
        <v>0.8</v>
      </c>
      <c r="R82" s="233">
        <f t="shared" si="17"/>
        <v>6.4</v>
      </c>
      <c r="S82" s="212">
        <v>6304939000</v>
      </c>
      <c r="T82" s="215" t="s">
        <v>127</v>
      </c>
    </row>
    <row r="83" spans="1:20" ht="18" customHeight="1">
      <c r="A83" s="312"/>
      <c r="B83" s="312"/>
      <c r="C83" s="214" t="s">
        <v>196</v>
      </c>
      <c r="D83" s="203" t="s">
        <v>197</v>
      </c>
      <c r="E83" s="208" t="s">
        <v>41</v>
      </c>
      <c r="F83" s="215" t="s">
        <v>198</v>
      </c>
      <c r="G83" s="208" t="s">
        <v>41</v>
      </c>
      <c r="H83" s="215" t="s">
        <v>199</v>
      </c>
      <c r="I83" s="212">
        <v>30</v>
      </c>
      <c r="J83" s="312"/>
      <c r="K83" s="312"/>
      <c r="L83" s="312"/>
      <c r="M83" s="312"/>
      <c r="N83" s="312"/>
      <c r="O83" s="312"/>
      <c r="P83" s="312"/>
      <c r="Q83" s="232">
        <v>0.8</v>
      </c>
      <c r="R83" s="233">
        <f t="shared" si="17"/>
        <v>24</v>
      </c>
      <c r="S83" s="212">
        <v>8415909000</v>
      </c>
      <c r="T83" s="215" t="s">
        <v>200</v>
      </c>
    </row>
    <row r="84" spans="1:20" ht="18" customHeight="1">
      <c r="A84" s="313">
        <v>1</v>
      </c>
      <c r="B84" s="323" t="s">
        <v>201</v>
      </c>
      <c r="C84" s="214" t="s">
        <v>202</v>
      </c>
      <c r="D84" s="203" t="s">
        <v>203</v>
      </c>
      <c r="E84" s="208" t="s">
        <v>41</v>
      </c>
      <c r="F84" s="214" t="s">
        <v>204</v>
      </c>
      <c r="G84" s="208" t="s">
        <v>41</v>
      </c>
      <c r="H84" s="214" t="s">
        <v>94</v>
      </c>
      <c r="I84" s="214">
        <v>4</v>
      </c>
      <c r="J84" s="313">
        <f>K84-1.5</f>
        <v>10.9</v>
      </c>
      <c r="K84" s="313">
        <v>12.4</v>
      </c>
      <c r="L84" s="313">
        <v>1</v>
      </c>
      <c r="M84" s="313">
        <f>N84*O84*P84/6000</f>
        <v>17.672000000000001</v>
      </c>
      <c r="N84" s="313">
        <v>47</v>
      </c>
      <c r="O84" s="313">
        <v>47</v>
      </c>
      <c r="P84" s="313">
        <v>48</v>
      </c>
      <c r="Q84" s="232">
        <v>2.1</v>
      </c>
      <c r="R84" s="233">
        <f t="shared" si="17"/>
        <v>8.4</v>
      </c>
      <c r="S84" s="214">
        <v>3926909090</v>
      </c>
      <c r="T84" s="211" t="s">
        <v>205</v>
      </c>
    </row>
    <row r="85" spans="1:20" ht="18" customHeight="1">
      <c r="A85" s="313"/>
      <c r="B85" s="323"/>
      <c r="C85" s="214" t="s">
        <v>206</v>
      </c>
      <c r="D85" s="203" t="s">
        <v>207</v>
      </c>
      <c r="E85" s="208" t="s">
        <v>41</v>
      </c>
      <c r="F85" s="214" t="s">
        <v>208</v>
      </c>
      <c r="G85" s="208" t="s">
        <v>41</v>
      </c>
      <c r="H85" s="214" t="s">
        <v>209</v>
      </c>
      <c r="I85" s="214">
        <v>10</v>
      </c>
      <c r="J85" s="313"/>
      <c r="K85" s="313"/>
      <c r="L85" s="313"/>
      <c r="M85" s="313"/>
      <c r="N85" s="313"/>
      <c r="O85" s="313"/>
      <c r="P85" s="313"/>
      <c r="Q85" s="232">
        <v>2.1</v>
      </c>
      <c r="R85" s="233">
        <f t="shared" si="17"/>
        <v>21</v>
      </c>
      <c r="S85" s="214">
        <v>3926909090</v>
      </c>
      <c r="T85" s="211" t="s">
        <v>210</v>
      </c>
    </row>
    <row r="86" spans="1:20" ht="18" customHeight="1">
      <c r="A86" s="313"/>
      <c r="B86" s="323"/>
      <c r="C86" s="214" t="s">
        <v>206</v>
      </c>
      <c r="D86" s="203" t="s">
        <v>207</v>
      </c>
      <c r="E86" s="208" t="s">
        <v>41</v>
      </c>
      <c r="F86" s="214" t="s">
        <v>211</v>
      </c>
      <c r="G86" s="208" t="s">
        <v>41</v>
      </c>
      <c r="H86" s="214" t="s">
        <v>212</v>
      </c>
      <c r="I86" s="214">
        <v>5</v>
      </c>
      <c r="J86" s="313"/>
      <c r="K86" s="313"/>
      <c r="L86" s="313"/>
      <c r="M86" s="313"/>
      <c r="N86" s="313"/>
      <c r="O86" s="313"/>
      <c r="P86" s="313"/>
      <c r="Q86" s="232">
        <v>2.1</v>
      </c>
      <c r="R86" s="233">
        <f t="shared" si="17"/>
        <v>10.5</v>
      </c>
      <c r="S86" s="214">
        <v>3926909090</v>
      </c>
      <c r="T86" s="211" t="s">
        <v>213</v>
      </c>
    </row>
    <row r="87" spans="1:20" ht="18" customHeight="1">
      <c r="A87" s="313"/>
      <c r="B87" s="323"/>
      <c r="C87" s="214" t="s">
        <v>214</v>
      </c>
      <c r="D87" s="203" t="s">
        <v>215</v>
      </c>
      <c r="E87" s="208" t="s">
        <v>41</v>
      </c>
      <c r="F87" s="214" t="s">
        <v>211</v>
      </c>
      <c r="G87" s="208" t="s">
        <v>41</v>
      </c>
      <c r="H87" s="214" t="s">
        <v>216</v>
      </c>
      <c r="I87" s="214">
        <v>3</v>
      </c>
      <c r="J87" s="313"/>
      <c r="K87" s="313"/>
      <c r="L87" s="313"/>
      <c r="M87" s="313"/>
      <c r="N87" s="313"/>
      <c r="O87" s="313"/>
      <c r="P87" s="313"/>
      <c r="Q87" s="232">
        <v>2.1</v>
      </c>
      <c r="R87" s="233">
        <f t="shared" si="17"/>
        <v>6.3000000000000007</v>
      </c>
      <c r="S87" s="214">
        <v>3926400000</v>
      </c>
      <c r="T87" s="211" t="s">
        <v>217</v>
      </c>
    </row>
    <row r="88" spans="1:20" ht="18" customHeight="1">
      <c r="A88" s="313">
        <v>2</v>
      </c>
      <c r="B88" s="313" t="s">
        <v>218</v>
      </c>
      <c r="C88" s="238" t="s">
        <v>202</v>
      </c>
      <c r="D88" s="203" t="s">
        <v>203</v>
      </c>
      <c r="E88" s="208" t="s">
        <v>41</v>
      </c>
      <c r="F88" s="239" t="s">
        <v>219</v>
      </c>
      <c r="G88" s="208" t="s">
        <v>41</v>
      </c>
      <c r="H88" s="239" t="s">
        <v>220</v>
      </c>
      <c r="I88" s="214">
        <v>4</v>
      </c>
      <c r="J88" s="313">
        <f>K88-1.5</f>
        <v>14.4</v>
      </c>
      <c r="K88" s="313">
        <v>15.9</v>
      </c>
      <c r="L88" s="313">
        <v>1</v>
      </c>
      <c r="M88" s="313">
        <f>N88*O88*P88/6000</f>
        <v>17.672000000000001</v>
      </c>
      <c r="N88" s="313">
        <v>47</v>
      </c>
      <c r="O88" s="313">
        <v>47</v>
      </c>
      <c r="P88" s="313">
        <v>48</v>
      </c>
      <c r="Q88" s="232">
        <v>2.1</v>
      </c>
      <c r="R88" s="233">
        <f t="shared" si="17"/>
        <v>8.4</v>
      </c>
      <c r="S88" s="251">
        <v>3926909090</v>
      </c>
      <c r="T88" s="211" t="s">
        <v>205</v>
      </c>
    </row>
    <row r="89" spans="1:20" ht="18" customHeight="1">
      <c r="A89" s="313"/>
      <c r="B89" s="313"/>
      <c r="C89" s="238" t="s">
        <v>221</v>
      </c>
      <c r="D89" s="203" t="s">
        <v>222</v>
      </c>
      <c r="E89" s="208" t="s">
        <v>41</v>
      </c>
      <c r="F89" s="239" t="s">
        <v>219</v>
      </c>
      <c r="G89" s="208" t="s">
        <v>41</v>
      </c>
      <c r="H89" s="239" t="s">
        <v>220</v>
      </c>
      <c r="I89" s="214">
        <v>5</v>
      </c>
      <c r="J89" s="313"/>
      <c r="K89" s="313"/>
      <c r="L89" s="313"/>
      <c r="M89" s="313"/>
      <c r="N89" s="313"/>
      <c r="O89" s="313"/>
      <c r="P89" s="313"/>
      <c r="Q89" s="232">
        <v>2.1</v>
      </c>
      <c r="R89" s="233">
        <f t="shared" si="17"/>
        <v>10.5</v>
      </c>
      <c r="S89" s="251">
        <v>8203200000</v>
      </c>
      <c r="T89" s="211" t="s">
        <v>223</v>
      </c>
    </row>
    <row r="90" spans="1:20" ht="18" customHeight="1">
      <c r="A90" s="313"/>
      <c r="B90" s="313"/>
      <c r="C90" s="238" t="s">
        <v>224</v>
      </c>
      <c r="D90" s="203" t="s">
        <v>225</v>
      </c>
      <c r="E90" s="208" t="s">
        <v>41</v>
      </c>
      <c r="F90" s="239" t="s">
        <v>226</v>
      </c>
      <c r="G90" s="208" t="s">
        <v>41</v>
      </c>
      <c r="H90" s="239" t="s">
        <v>227</v>
      </c>
      <c r="I90" s="214">
        <v>5</v>
      </c>
      <c r="J90" s="313"/>
      <c r="K90" s="313"/>
      <c r="L90" s="313"/>
      <c r="M90" s="313"/>
      <c r="N90" s="313"/>
      <c r="O90" s="313"/>
      <c r="P90" s="313"/>
      <c r="Q90" s="232">
        <v>2.1</v>
      </c>
      <c r="R90" s="233">
        <f t="shared" si="17"/>
        <v>10.5</v>
      </c>
      <c r="S90" s="251">
        <v>8415901000</v>
      </c>
      <c r="T90" s="211" t="s">
        <v>228</v>
      </c>
    </row>
    <row r="91" spans="1:20" ht="18" customHeight="1">
      <c r="A91" s="313"/>
      <c r="B91" s="313"/>
      <c r="C91" s="238" t="s">
        <v>229</v>
      </c>
      <c r="D91" s="203" t="s">
        <v>230</v>
      </c>
      <c r="E91" s="208" t="s">
        <v>41</v>
      </c>
      <c r="F91" s="239" t="s">
        <v>231</v>
      </c>
      <c r="G91" s="208" t="s">
        <v>41</v>
      </c>
      <c r="H91" s="239" t="s">
        <v>232</v>
      </c>
      <c r="I91" s="214">
        <v>5</v>
      </c>
      <c r="J91" s="313"/>
      <c r="K91" s="313"/>
      <c r="L91" s="313"/>
      <c r="M91" s="313"/>
      <c r="N91" s="313"/>
      <c r="O91" s="313"/>
      <c r="P91" s="313"/>
      <c r="Q91" s="232">
        <v>2.1</v>
      </c>
      <c r="R91" s="233">
        <f t="shared" si="17"/>
        <v>10.5</v>
      </c>
      <c r="S91" s="251">
        <v>8448590000</v>
      </c>
      <c r="T91" s="211" t="s">
        <v>233</v>
      </c>
    </row>
    <row r="92" spans="1:20" ht="18" customHeight="1">
      <c r="A92" s="313"/>
      <c r="B92" s="313"/>
      <c r="C92" s="238" t="s">
        <v>214</v>
      </c>
      <c r="D92" s="203" t="s">
        <v>215</v>
      </c>
      <c r="E92" s="208" t="s">
        <v>41</v>
      </c>
      <c r="F92" s="239" t="s">
        <v>234</v>
      </c>
      <c r="G92" s="208" t="s">
        <v>41</v>
      </c>
      <c r="H92" s="239" t="s">
        <v>235</v>
      </c>
      <c r="I92" s="214">
        <v>2</v>
      </c>
      <c r="J92" s="313"/>
      <c r="K92" s="313"/>
      <c r="L92" s="313"/>
      <c r="M92" s="313"/>
      <c r="N92" s="313"/>
      <c r="O92" s="313"/>
      <c r="P92" s="313"/>
      <c r="Q92" s="232">
        <v>2.1</v>
      </c>
      <c r="R92" s="233">
        <f t="shared" si="17"/>
        <v>4.2</v>
      </c>
      <c r="S92" s="251">
        <v>3926400000</v>
      </c>
      <c r="T92" s="211" t="s">
        <v>217</v>
      </c>
    </row>
    <row r="93" spans="1:20" ht="18" customHeight="1">
      <c r="A93" s="313"/>
      <c r="B93" s="313"/>
      <c r="C93" s="238" t="s">
        <v>236</v>
      </c>
      <c r="D93" s="203" t="s">
        <v>237</v>
      </c>
      <c r="E93" s="208" t="s">
        <v>41</v>
      </c>
      <c r="F93" s="239" t="s">
        <v>234</v>
      </c>
      <c r="G93" s="208" t="s">
        <v>41</v>
      </c>
      <c r="H93" s="239" t="s">
        <v>220</v>
      </c>
      <c r="I93" s="214">
        <v>5</v>
      </c>
      <c r="J93" s="313"/>
      <c r="K93" s="313"/>
      <c r="L93" s="313"/>
      <c r="M93" s="313"/>
      <c r="N93" s="313"/>
      <c r="O93" s="313"/>
      <c r="P93" s="313"/>
      <c r="Q93" s="232">
        <v>2.1</v>
      </c>
      <c r="R93" s="233">
        <f t="shared" si="17"/>
        <v>10.5</v>
      </c>
      <c r="S93" s="251">
        <v>3917390000</v>
      </c>
      <c r="T93" s="211" t="s">
        <v>238</v>
      </c>
    </row>
    <row r="94" spans="1:20" ht="18" customHeight="1">
      <c r="A94" s="314">
        <v>1</v>
      </c>
      <c r="B94" s="324" t="s">
        <v>239</v>
      </c>
      <c r="C94" s="214" t="s">
        <v>240</v>
      </c>
      <c r="D94" s="203" t="s">
        <v>241</v>
      </c>
      <c r="E94" s="208" t="s">
        <v>41</v>
      </c>
      <c r="F94" s="214" t="s">
        <v>242</v>
      </c>
      <c r="G94" s="208" t="s">
        <v>41</v>
      </c>
      <c r="H94" s="214" t="s">
        <v>94</v>
      </c>
      <c r="I94" s="211">
        <v>12</v>
      </c>
      <c r="J94" s="314">
        <f>K94-1.5</f>
        <v>21.9</v>
      </c>
      <c r="K94" s="314">
        <v>23.4</v>
      </c>
      <c r="L94" s="314">
        <v>1</v>
      </c>
      <c r="M94" s="314">
        <f>N94*O94*P94/6000</f>
        <v>23.52</v>
      </c>
      <c r="N94" s="314">
        <v>60</v>
      </c>
      <c r="O94" s="314">
        <v>49</v>
      </c>
      <c r="P94" s="314">
        <v>48</v>
      </c>
      <c r="Q94" s="232">
        <v>2.2000000000000002</v>
      </c>
      <c r="R94" s="233">
        <f t="shared" si="17"/>
        <v>26.400000000000002</v>
      </c>
      <c r="S94" s="211">
        <v>8512200090</v>
      </c>
      <c r="T94" s="211" t="s">
        <v>243</v>
      </c>
    </row>
    <row r="95" spans="1:20" ht="18" customHeight="1">
      <c r="A95" s="314"/>
      <c r="B95" s="324"/>
      <c r="C95" s="214" t="s">
        <v>244</v>
      </c>
      <c r="D95" s="203" t="s">
        <v>245</v>
      </c>
      <c r="E95" s="208" t="s">
        <v>41</v>
      </c>
      <c r="F95" s="214" t="s">
        <v>135</v>
      </c>
      <c r="G95" s="208" t="s">
        <v>41</v>
      </c>
      <c r="H95" s="214" t="s">
        <v>94</v>
      </c>
      <c r="I95" s="211">
        <v>5</v>
      </c>
      <c r="J95" s="314"/>
      <c r="K95" s="314"/>
      <c r="L95" s="314"/>
      <c r="M95" s="314"/>
      <c r="N95" s="314"/>
      <c r="O95" s="314"/>
      <c r="P95" s="314"/>
      <c r="Q95" s="232">
        <v>2.2000000000000002</v>
      </c>
      <c r="R95" s="233">
        <f t="shared" si="17"/>
        <v>11</v>
      </c>
      <c r="S95" s="211">
        <v>3926909090</v>
      </c>
      <c r="T95" s="211" t="s">
        <v>246</v>
      </c>
    </row>
    <row r="96" spans="1:20" ht="18" customHeight="1">
      <c r="A96" s="314"/>
      <c r="B96" s="324"/>
      <c r="C96" s="214" t="s">
        <v>247</v>
      </c>
      <c r="D96" s="203" t="s">
        <v>248</v>
      </c>
      <c r="E96" s="208" t="s">
        <v>41</v>
      </c>
      <c r="F96" s="214" t="s">
        <v>249</v>
      </c>
      <c r="G96" s="208" t="s">
        <v>41</v>
      </c>
      <c r="H96" s="214" t="s">
        <v>250</v>
      </c>
      <c r="I96" s="211">
        <v>22</v>
      </c>
      <c r="J96" s="314"/>
      <c r="K96" s="314"/>
      <c r="L96" s="314"/>
      <c r="M96" s="314"/>
      <c r="N96" s="314"/>
      <c r="O96" s="314"/>
      <c r="P96" s="314"/>
      <c r="Q96" s="232">
        <v>2.2000000000000002</v>
      </c>
      <c r="R96" s="233">
        <f t="shared" si="17"/>
        <v>48.400000000000006</v>
      </c>
      <c r="S96" s="211">
        <v>8431499900</v>
      </c>
      <c r="T96" s="211" t="s">
        <v>251</v>
      </c>
    </row>
    <row r="97" spans="1:20" ht="18" customHeight="1">
      <c r="A97" s="314"/>
      <c r="B97" s="324"/>
      <c r="C97" s="214" t="s">
        <v>252</v>
      </c>
      <c r="D97" s="203" t="s">
        <v>253</v>
      </c>
      <c r="E97" s="208" t="s">
        <v>41</v>
      </c>
      <c r="F97" s="214" t="s">
        <v>211</v>
      </c>
      <c r="G97" s="208" t="s">
        <v>41</v>
      </c>
      <c r="H97" s="214" t="s">
        <v>254</v>
      </c>
      <c r="I97" s="211">
        <v>10</v>
      </c>
      <c r="J97" s="314"/>
      <c r="K97" s="314"/>
      <c r="L97" s="314"/>
      <c r="M97" s="314"/>
      <c r="N97" s="314"/>
      <c r="O97" s="314"/>
      <c r="P97" s="314"/>
      <c r="Q97" s="232">
        <v>2.2000000000000002</v>
      </c>
      <c r="R97" s="233">
        <f t="shared" si="17"/>
        <v>22</v>
      </c>
      <c r="S97" s="211">
        <v>3926909090</v>
      </c>
      <c r="T97" s="211" t="s">
        <v>255</v>
      </c>
    </row>
    <row r="98" spans="1:20" ht="18" customHeight="1">
      <c r="A98" s="314"/>
      <c r="B98" s="324"/>
      <c r="C98" s="240" t="s">
        <v>256</v>
      </c>
      <c r="D98" s="203" t="s">
        <v>257</v>
      </c>
      <c r="E98" s="208" t="s">
        <v>41</v>
      </c>
      <c r="F98" s="240" t="s">
        <v>258</v>
      </c>
      <c r="G98" s="208" t="s">
        <v>41</v>
      </c>
      <c r="H98" s="241" t="s">
        <v>259</v>
      </c>
      <c r="I98" s="211">
        <v>3</v>
      </c>
      <c r="J98" s="314"/>
      <c r="K98" s="314"/>
      <c r="L98" s="314"/>
      <c r="M98" s="314"/>
      <c r="N98" s="314"/>
      <c r="O98" s="314"/>
      <c r="P98" s="314"/>
      <c r="Q98" s="232">
        <v>2.2000000000000002</v>
      </c>
      <c r="R98" s="233">
        <f t="shared" si="17"/>
        <v>6.6000000000000005</v>
      </c>
      <c r="S98" s="211">
        <v>3926901000</v>
      </c>
      <c r="T98" s="211" t="s">
        <v>260</v>
      </c>
    </row>
    <row r="99" spans="1:20" ht="18" customHeight="1">
      <c r="A99" s="325">
        <v>1</v>
      </c>
      <c r="B99" s="324" t="s">
        <v>261</v>
      </c>
      <c r="C99" s="211" t="s">
        <v>262</v>
      </c>
      <c r="D99" s="203" t="s">
        <v>263</v>
      </c>
      <c r="E99" s="208" t="s">
        <v>41</v>
      </c>
      <c r="F99" s="211" t="s">
        <v>135</v>
      </c>
      <c r="G99" s="208" t="s">
        <v>41</v>
      </c>
      <c r="H99" s="211" t="s">
        <v>264</v>
      </c>
      <c r="I99" s="211">
        <v>5</v>
      </c>
      <c r="J99" s="315">
        <f t="shared" ref="J99:J103" si="18">K99-1.5</f>
        <v>20.9</v>
      </c>
      <c r="K99" s="315">
        <v>22.4</v>
      </c>
      <c r="L99" s="315">
        <v>1</v>
      </c>
      <c r="M99" s="315">
        <f t="shared" ref="M99:M103" si="19">N99*O99*P99/6000</f>
        <v>16.8</v>
      </c>
      <c r="N99" s="315">
        <v>75</v>
      </c>
      <c r="O99" s="315">
        <v>42</v>
      </c>
      <c r="P99" s="315">
        <v>32</v>
      </c>
      <c r="Q99" s="232">
        <v>0.7</v>
      </c>
      <c r="R99" s="233">
        <f t="shared" si="17"/>
        <v>3.5</v>
      </c>
      <c r="S99" s="211">
        <v>8413200000</v>
      </c>
      <c r="T99" s="200" t="s">
        <v>265</v>
      </c>
    </row>
    <row r="100" spans="1:20" ht="18" customHeight="1">
      <c r="A100" s="326"/>
      <c r="B100" s="324"/>
      <c r="C100" s="211" t="s">
        <v>266</v>
      </c>
      <c r="D100" s="203" t="s">
        <v>267</v>
      </c>
      <c r="E100" s="208" t="s">
        <v>41</v>
      </c>
      <c r="F100" s="211" t="s">
        <v>104</v>
      </c>
      <c r="G100" s="208" t="s">
        <v>41</v>
      </c>
      <c r="H100" s="211" t="s">
        <v>94</v>
      </c>
      <c r="I100" s="211">
        <v>10</v>
      </c>
      <c r="J100" s="315"/>
      <c r="K100" s="315"/>
      <c r="L100" s="315"/>
      <c r="M100" s="315"/>
      <c r="N100" s="315"/>
      <c r="O100" s="315"/>
      <c r="P100" s="315"/>
      <c r="Q100" s="232">
        <v>0.7</v>
      </c>
      <c r="R100" s="233">
        <f t="shared" si="17"/>
        <v>7</v>
      </c>
      <c r="S100" s="211">
        <v>7326909000</v>
      </c>
      <c r="T100" s="200" t="s">
        <v>268</v>
      </c>
    </row>
    <row r="101" spans="1:20" ht="18" customHeight="1">
      <c r="A101" s="313">
        <v>1</v>
      </c>
      <c r="B101" s="323" t="s">
        <v>269</v>
      </c>
      <c r="C101" s="214" t="s">
        <v>270</v>
      </c>
      <c r="D101" s="203" t="s">
        <v>271</v>
      </c>
      <c r="E101" s="208" t="s">
        <v>41</v>
      </c>
      <c r="F101" s="214" t="s">
        <v>99</v>
      </c>
      <c r="G101" s="208" t="s">
        <v>41</v>
      </c>
      <c r="H101" s="214" t="s">
        <v>100</v>
      </c>
      <c r="I101" s="214">
        <v>32</v>
      </c>
      <c r="J101" s="313">
        <f t="shared" si="18"/>
        <v>12.8</v>
      </c>
      <c r="K101" s="313">
        <v>14.3</v>
      </c>
      <c r="L101" s="313">
        <v>1</v>
      </c>
      <c r="M101" s="313">
        <f t="shared" si="19"/>
        <v>23.52</v>
      </c>
      <c r="N101" s="313">
        <v>60</v>
      </c>
      <c r="O101" s="313">
        <v>49</v>
      </c>
      <c r="P101" s="313">
        <v>48</v>
      </c>
      <c r="Q101" s="232">
        <v>1.5</v>
      </c>
      <c r="R101" s="233">
        <f t="shared" si="17"/>
        <v>48</v>
      </c>
      <c r="S101" s="214">
        <v>9617009000</v>
      </c>
      <c r="T101" s="214" t="s">
        <v>272</v>
      </c>
    </row>
    <row r="102" spans="1:20" ht="18" customHeight="1">
      <c r="A102" s="313"/>
      <c r="B102" s="323"/>
      <c r="C102" s="214" t="s">
        <v>273</v>
      </c>
      <c r="D102" s="203" t="s">
        <v>274</v>
      </c>
      <c r="E102" s="208" t="s">
        <v>41</v>
      </c>
      <c r="F102" s="214" t="s">
        <v>117</v>
      </c>
      <c r="G102" s="208" t="s">
        <v>41</v>
      </c>
      <c r="H102" s="214" t="s">
        <v>113</v>
      </c>
      <c r="I102" s="214">
        <v>15</v>
      </c>
      <c r="J102" s="313"/>
      <c r="K102" s="313"/>
      <c r="L102" s="313"/>
      <c r="M102" s="313"/>
      <c r="N102" s="313"/>
      <c r="O102" s="313"/>
      <c r="P102" s="313"/>
      <c r="Q102" s="232">
        <v>1.5</v>
      </c>
      <c r="R102" s="233">
        <f t="shared" si="17"/>
        <v>22.5</v>
      </c>
      <c r="S102" s="214">
        <v>6117809000</v>
      </c>
      <c r="T102" s="214" t="s">
        <v>275</v>
      </c>
    </row>
    <row r="103" spans="1:20" ht="18" customHeight="1">
      <c r="A103" s="313">
        <v>2</v>
      </c>
      <c r="B103" s="313" t="s">
        <v>276</v>
      </c>
      <c r="C103" s="214" t="s">
        <v>270</v>
      </c>
      <c r="D103" s="203" t="s">
        <v>271</v>
      </c>
      <c r="E103" s="208" t="s">
        <v>41</v>
      </c>
      <c r="F103" s="214" t="s">
        <v>99</v>
      </c>
      <c r="G103" s="208" t="s">
        <v>41</v>
      </c>
      <c r="H103" s="214" t="s">
        <v>100</v>
      </c>
      <c r="I103" s="214">
        <v>3</v>
      </c>
      <c r="J103" s="313">
        <f t="shared" si="18"/>
        <v>19.100000000000001</v>
      </c>
      <c r="K103" s="313">
        <v>20.6</v>
      </c>
      <c r="L103" s="313">
        <v>1</v>
      </c>
      <c r="M103" s="313">
        <f t="shared" si="19"/>
        <v>17.672000000000001</v>
      </c>
      <c r="N103" s="313">
        <v>47</v>
      </c>
      <c r="O103" s="313">
        <v>47</v>
      </c>
      <c r="P103" s="313">
        <v>48</v>
      </c>
      <c r="Q103" s="232">
        <v>1.5</v>
      </c>
      <c r="R103" s="233">
        <f t="shared" si="17"/>
        <v>4.5</v>
      </c>
      <c r="S103" s="214">
        <v>9617009000</v>
      </c>
      <c r="T103" s="214" t="s">
        <v>272</v>
      </c>
    </row>
    <row r="104" spans="1:20" ht="18" customHeight="1">
      <c r="A104" s="313"/>
      <c r="B104" s="313"/>
      <c r="C104" s="214" t="s">
        <v>277</v>
      </c>
      <c r="D104" s="242" t="s">
        <v>278</v>
      </c>
      <c r="E104" s="208" t="s">
        <v>41</v>
      </c>
      <c r="F104" s="214" t="s">
        <v>279</v>
      </c>
      <c r="G104" s="208" t="s">
        <v>41</v>
      </c>
      <c r="H104" s="214" t="s">
        <v>280</v>
      </c>
      <c r="I104" s="214">
        <v>33</v>
      </c>
      <c r="J104" s="313"/>
      <c r="K104" s="313"/>
      <c r="L104" s="313"/>
      <c r="M104" s="313"/>
      <c r="N104" s="313"/>
      <c r="O104" s="313"/>
      <c r="P104" s="313"/>
      <c r="Q104" s="232">
        <v>1.5</v>
      </c>
      <c r="R104" s="233">
        <f t="shared" si="17"/>
        <v>49.5</v>
      </c>
      <c r="S104" s="214">
        <v>8513109000</v>
      </c>
      <c r="T104" s="214" t="s">
        <v>281</v>
      </c>
    </row>
    <row r="105" spans="1:20" ht="18" customHeight="1">
      <c r="A105" s="313"/>
      <c r="B105" s="313"/>
      <c r="C105" s="238" t="s">
        <v>282</v>
      </c>
      <c r="D105" s="203" t="s">
        <v>283</v>
      </c>
      <c r="E105" s="208" t="s">
        <v>41</v>
      </c>
      <c r="F105" s="239" t="s">
        <v>284</v>
      </c>
      <c r="G105" s="208" t="s">
        <v>41</v>
      </c>
      <c r="H105" s="239" t="s">
        <v>285</v>
      </c>
      <c r="I105" s="214">
        <v>15</v>
      </c>
      <c r="J105" s="313"/>
      <c r="K105" s="313"/>
      <c r="L105" s="313"/>
      <c r="M105" s="313"/>
      <c r="N105" s="313"/>
      <c r="O105" s="313"/>
      <c r="P105" s="313"/>
      <c r="Q105" s="232">
        <v>1.5</v>
      </c>
      <c r="R105" s="233">
        <f t="shared" si="17"/>
        <v>22.5</v>
      </c>
      <c r="S105" s="251">
        <v>4016999090</v>
      </c>
      <c r="T105" s="214" t="s">
        <v>286</v>
      </c>
    </row>
    <row r="106" spans="1:20" ht="18" customHeight="1">
      <c r="A106" s="313"/>
      <c r="B106" s="313"/>
      <c r="C106" s="238" t="s">
        <v>287</v>
      </c>
      <c r="D106" s="203" t="s">
        <v>288</v>
      </c>
      <c r="E106" s="208" t="s">
        <v>41</v>
      </c>
      <c r="F106" s="239" t="s">
        <v>289</v>
      </c>
      <c r="G106" s="208" t="s">
        <v>41</v>
      </c>
      <c r="H106" s="239" t="s">
        <v>290</v>
      </c>
      <c r="I106" s="214">
        <v>20</v>
      </c>
      <c r="J106" s="313"/>
      <c r="K106" s="313"/>
      <c r="L106" s="313"/>
      <c r="M106" s="313"/>
      <c r="N106" s="313"/>
      <c r="O106" s="313"/>
      <c r="P106" s="313"/>
      <c r="Q106" s="232">
        <v>1.5</v>
      </c>
      <c r="R106" s="233">
        <f t="shared" si="17"/>
        <v>30</v>
      </c>
      <c r="S106" s="251">
        <v>9603290090</v>
      </c>
      <c r="T106" s="214" t="s">
        <v>291</v>
      </c>
    </row>
    <row r="107" spans="1:20" ht="18" customHeight="1">
      <c r="A107" s="313"/>
      <c r="B107" s="313"/>
      <c r="C107" s="238" t="s">
        <v>292</v>
      </c>
      <c r="D107" s="203" t="s">
        <v>293</v>
      </c>
      <c r="E107" s="208" t="s">
        <v>41</v>
      </c>
      <c r="F107" s="239" t="s">
        <v>294</v>
      </c>
      <c r="G107" s="208" t="s">
        <v>41</v>
      </c>
      <c r="H107" s="239" t="s">
        <v>295</v>
      </c>
      <c r="I107" s="214">
        <v>20</v>
      </c>
      <c r="J107" s="313"/>
      <c r="K107" s="313"/>
      <c r="L107" s="313"/>
      <c r="M107" s="313"/>
      <c r="N107" s="313"/>
      <c r="O107" s="313"/>
      <c r="P107" s="313"/>
      <c r="Q107" s="232">
        <v>1.5</v>
      </c>
      <c r="R107" s="233">
        <f t="shared" si="17"/>
        <v>30</v>
      </c>
      <c r="S107" s="251">
        <v>3926909090</v>
      </c>
      <c r="T107" s="214" t="s">
        <v>296</v>
      </c>
    </row>
    <row r="108" spans="1:20" ht="18" customHeight="1">
      <c r="A108" s="313"/>
      <c r="B108" s="313"/>
      <c r="C108" s="238" t="s">
        <v>297</v>
      </c>
      <c r="D108" s="203" t="s">
        <v>298</v>
      </c>
      <c r="E108" s="208" t="s">
        <v>41</v>
      </c>
      <c r="F108" s="239" t="s">
        <v>219</v>
      </c>
      <c r="G108" s="208" t="s">
        <v>41</v>
      </c>
      <c r="H108" s="239" t="s">
        <v>220</v>
      </c>
      <c r="I108" s="214">
        <v>20</v>
      </c>
      <c r="J108" s="313"/>
      <c r="K108" s="313"/>
      <c r="L108" s="313"/>
      <c r="M108" s="313"/>
      <c r="N108" s="313"/>
      <c r="O108" s="313"/>
      <c r="P108" s="313"/>
      <c r="Q108" s="232">
        <v>1.5</v>
      </c>
      <c r="R108" s="233">
        <f t="shared" si="17"/>
        <v>30</v>
      </c>
      <c r="S108" s="251">
        <v>8205510000</v>
      </c>
      <c r="T108" s="214" t="s">
        <v>299</v>
      </c>
    </row>
    <row r="109" spans="1:20" ht="18" customHeight="1">
      <c r="A109" s="313"/>
      <c r="B109" s="313"/>
      <c r="C109" s="238" t="s">
        <v>300</v>
      </c>
      <c r="D109" s="203" t="s">
        <v>301</v>
      </c>
      <c r="E109" s="208" t="s">
        <v>41</v>
      </c>
      <c r="F109" s="239" t="s">
        <v>302</v>
      </c>
      <c r="G109" s="208" t="s">
        <v>41</v>
      </c>
      <c r="H109" s="239" t="s">
        <v>303</v>
      </c>
      <c r="I109" s="214">
        <v>22</v>
      </c>
      <c r="J109" s="313"/>
      <c r="K109" s="313"/>
      <c r="L109" s="313"/>
      <c r="M109" s="313"/>
      <c r="N109" s="313"/>
      <c r="O109" s="313"/>
      <c r="P109" s="313"/>
      <c r="Q109" s="232">
        <v>1.5</v>
      </c>
      <c r="R109" s="233">
        <f t="shared" si="17"/>
        <v>33</v>
      </c>
      <c r="S109" s="251">
        <v>4201000090</v>
      </c>
      <c r="T109" s="214" t="s">
        <v>304</v>
      </c>
    </row>
    <row r="110" spans="1:20" ht="18" customHeight="1">
      <c r="A110" s="313">
        <v>3</v>
      </c>
      <c r="B110" s="313" t="s">
        <v>305</v>
      </c>
      <c r="C110" s="238" t="s">
        <v>306</v>
      </c>
      <c r="D110" s="203" t="s">
        <v>307</v>
      </c>
      <c r="E110" s="208" t="s">
        <v>41</v>
      </c>
      <c r="F110" s="239" t="s">
        <v>308</v>
      </c>
      <c r="G110" s="208" t="s">
        <v>41</v>
      </c>
      <c r="H110" s="239" t="s">
        <v>235</v>
      </c>
      <c r="I110" s="214">
        <v>10</v>
      </c>
      <c r="J110" s="313">
        <f>K110-1.5</f>
        <v>14.5</v>
      </c>
      <c r="K110" s="313">
        <v>16</v>
      </c>
      <c r="L110" s="313">
        <v>1</v>
      </c>
      <c r="M110" s="313">
        <f>N110*O110*P110/6000</f>
        <v>17.672000000000001</v>
      </c>
      <c r="N110" s="313">
        <v>47</v>
      </c>
      <c r="O110" s="313">
        <v>47</v>
      </c>
      <c r="P110" s="313">
        <v>48</v>
      </c>
      <c r="Q110" s="232">
        <v>1.5</v>
      </c>
      <c r="R110" s="233">
        <f t="shared" si="17"/>
        <v>15</v>
      </c>
      <c r="S110" s="251">
        <v>6302599090</v>
      </c>
      <c r="T110" s="214" t="s">
        <v>309</v>
      </c>
    </row>
    <row r="111" spans="1:20" ht="18" customHeight="1">
      <c r="A111" s="313"/>
      <c r="B111" s="313"/>
      <c r="C111" s="238" t="s">
        <v>310</v>
      </c>
      <c r="D111" s="203" t="s">
        <v>311</v>
      </c>
      <c r="E111" s="208" t="s">
        <v>41</v>
      </c>
      <c r="F111" s="239" t="s">
        <v>312</v>
      </c>
      <c r="G111" s="208" t="s">
        <v>41</v>
      </c>
      <c r="H111" s="239" t="s">
        <v>303</v>
      </c>
      <c r="I111" s="214">
        <v>20</v>
      </c>
      <c r="J111" s="313"/>
      <c r="K111" s="313"/>
      <c r="L111" s="313"/>
      <c r="M111" s="313"/>
      <c r="N111" s="313"/>
      <c r="O111" s="313"/>
      <c r="P111" s="313"/>
      <c r="Q111" s="232">
        <v>1.5</v>
      </c>
      <c r="R111" s="233">
        <f t="shared" si="17"/>
        <v>30</v>
      </c>
      <c r="S111" s="251">
        <v>9021100000</v>
      </c>
      <c r="T111" s="214" t="s">
        <v>140</v>
      </c>
    </row>
    <row r="112" spans="1:20" ht="18" customHeight="1">
      <c r="A112" s="313"/>
      <c r="B112" s="313"/>
      <c r="C112" s="238" t="s">
        <v>300</v>
      </c>
      <c r="D112" s="203" t="s">
        <v>301</v>
      </c>
      <c r="E112" s="208" t="s">
        <v>41</v>
      </c>
      <c r="F112" s="239" t="s">
        <v>302</v>
      </c>
      <c r="G112" s="208" t="s">
        <v>41</v>
      </c>
      <c r="H112" s="239" t="s">
        <v>303</v>
      </c>
      <c r="I112" s="214">
        <v>38</v>
      </c>
      <c r="J112" s="313"/>
      <c r="K112" s="313"/>
      <c r="L112" s="313"/>
      <c r="M112" s="313"/>
      <c r="N112" s="313"/>
      <c r="O112" s="313"/>
      <c r="P112" s="313"/>
      <c r="Q112" s="232">
        <v>1.5</v>
      </c>
      <c r="R112" s="233">
        <f t="shared" si="17"/>
        <v>57</v>
      </c>
      <c r="S112" s="251">
        <v>4201000090</v>
      </c>
      <c r="T112" s="214" t="s">
        <v>304</v>
      </c>
    </row>
    <row r="113" spans="1:20" ht="18" customHeight="1">
      <c r="A113" s="313"/>
      <c r="B113" s="313"/>
      <c r="C113" s="238" t="s">
        <v>313</v>
      </c>
      <c r="D113" s="203" t="s">
        <v>314</v>
      </c>
      <c r="E113" s="208" t="s">
        <v>41</v>
      </c>
      <c r="F113" s="239" t="s">
        <v>315</v>
      </c>
      <c r="G113" s="208" t="s">
        <v>41</v>
      </c>
      <c r="H113" s="239" t="s">
        <v>303</v>
      </c>
      <c r="I113" s="214">
        <v>30</v>
      </c>
      <c r="J113" s="313"/>
      <c r="K113" s="313"/>
      <c r="L113" s="313"/>
      <c r="M113" s="313"/>
      <c r="N113" s="313"/>
      <c r="O113" s="313"/>
      <c r="P113" s="313"/>
      <c r="Q113" s="232">
        <v>1.5</v>
      </c>
      <c r="R113" s="233">
        <f t="shared" si="17"/>
        <v>45</v>
      </c>
      <c r="S113" s="251">
        <v>6117809000</v>
      </c>
      <c r="T113" s="214" t="s">
        <v>316</v>
      </c>
    </row>
    <row r="114" spans="1:20" ht="18" customHeight="1">
      <c r="A114" s="313"/>
      <c r="B114" s="313"/>
      <c r="C114" s="238" t="s">
        <v>282</v>
      </c>
      <c r="D114" s="203" t="s">
        <v>283</v>
      </c>
      <c r="E114" s="208" t="s">
        <v>41</v>
      </c>
      <c r="F114" s="239" t="s">
        <v>317</v>
      </c>
      <c r="G114" s="208" t="s">
        <v>41</v>
      </c>
      <c r="H114" s="239" t="s">
        <v>318</v>
      </c>
      <c r="I114" s="214">
        <v>13</v>
      </c>
      <c r="J114" s="313"/>
      <c r="K114" s="313"/>
      <c r="L114" s="313"/>
      <c r="M114" s="313"/>
      <c r="N114" s="313"/>
      <c r="O114" s="313"/>
      <c r="P114" s="313"/>
      <c r="Q114" s="232">
        <v>1.5</v>
      </c>
      <c r="R114" s="233">
        <f t="shared" si="17"/>
        <v>19.5</v>
      </c>
      <c r="S114" s="251">
        <v>3920109090</v>
      </c>
      <c r="T114" s="214" t="s">
        <v>319</v>
      </c>
    </row>
    <row r="115" spans="1:20" ht="18" customHeight="1">
      <c r="A115" s="200">
        <v>1</v>
      </c>
      <c r="B115" s="201" t="s">
        <v>320</v>
      </c>
      <c r="C115" s="206" t="s">
        <v>321</v>
      </c>
      <c r="D115" s="203" t="s">
        <v>322</v>
      </c>
      <c r="E115" s="208" t="s">
        <v>41</v>
      </c>
      <c r="F115" s="202" t="s">
        <v>323</v>
      </c>
      <c r="G115" s="208" t="s">
        <v>41</v>
      </c>
      <c r="H115" s="202" t="s">
        <v>324</v>
      </c>
      <c r="I115" s="220">
        <v>48</v>
      </c>
      <c r="J115" s="221">
        <f t="shared" ref="J115:J124" si="20">K115-1.5</f>
        <v>12.3</v>
      </c>
      <c r="K115" s="221">
        <v>13.8</v>
      </c>
      <c r="L115" s="222">
        <v>1</v>
      </c>
      <c r="M115" s="221">
        <f t="shared" ref="M115:M124" si="21">N115*O115*P115/6000</f>
        <v>13.481</v>
      </c>
      <c r="N115" s="206">
        <v>61</v>
      </c>
      <c r="O115" s="221">
        <v>34</v>
      </c>
      <c r="P115" s="221">
        <v>39</v>
      </c>
      <c r="Q115" s="232">
        <v>0.8</v>
      </c>
      <c r="R115" s="233">
        <f t="shared" si="17"/>
        <v>38.400000000000006</v>
      </c>
      <c r="S115" s="252">
        <v>8424200000</v>
      </c>
      <c r="T115" s="234" t="s">
        <v>325</v>
      </c>
    </row>
    <row r="116" spans="1:20" ht="18" customHeight="1">
      <c r="A116" s="200">
        <v>2</v>
      </c>
      <c r="B116" s="206" t="s">
        <v>326</v>
      </c>
      <c r="C116" s="206" t="s">
        <v>321</v>
      </c>
      <c r="D116" s="203" t="s">
        <v>322</v>
      </c>
      <c r="E116" s="208" t="s">
        <v>41</v>
      </c>
      <c r="F116" s="202" t="s">
        <v>323</v>
      </c>
      <c r="G116" s="208" t="s">
        <v>41</v>
      </c>
      <c r="H116" s="202" t="s">
        <v>324</v>
      </c>
      <c r="I116" s="220">
        <v>48</v>
      </c>
      <c r="J116" s="221">
        <f t="shared" si="20"/>
        <v>12.3</v>
      </c>
      <c r="K116" s="221">
        <v>13.8</v>
      </c>
      <c r="L116" s="222">
        <v>1</v>
      </c>
      <c r="M116" s="221">
        <f t="shared" si="21"/>
        <v>13.481</v>
      </c>
      <c r="N116" s="206">
        <v>61</v>
      </c>
      <c r="O116" s="221">
        <v>34</v>
      </c>
      <c r="P116" s="221">
        <v>39</v>
      </c>
      <c r="Q116" s="232">
        <v>0.8</v>
      </c>
      <c r="R116" s="233">
        <f t="shared" si="17"/>
        <v>38.400000000000006</v>
      </c>
      <c r="S116" s="252">
        <v>8424200000</v>
      </c>
      <c r="T116" s="234" t="s">
        <v>325</v>
      </c>
    </row>
    <row r="117" spans="1:20" ht="18" customHeight="1">
      <c r="A117" s="200">
        <v>3</v>
      </c>
      <c r="B117" s="206" t="s">
        <v>327</v>
      </c>
      <c r="C117" s="206" t="s">
        <v>321</v>
      </c>
      <c r="D117" s="203" t="s">
        <v>322</v>
      </c>
      <c r="E117" s="208" t="s">
        <v>41</v>
      </c>
      <c r="F117" s="202" t="s">
        <v>323</v>
      </c>
      <c r="G117" s="208" t="s">
        <v>41</v>
      </c>
      <c r="H117" s="202" t="s">
        <v>324</v>
      </c>
      <c r="I117" s="220">
        <v>48</v>
      </c>
      <c r="J117" s="221">
        <f t="shared" si="20"/>
        <v>12.3</v>
      </c>
      <c r="K117" s="221">
        <v>13.8</v>
      </c>
      <c r="L117" s="222">
        <v>1</v>
      </c>
      <c r="M117" s="221">
        <f t="shared" si="21"/>
        <v>13.481</v>
      </c>
      <c r="N117" s="206">
        <v>61</v>
      </c>
      <c r="O117" s="221">
        <v>34</v>
      </c>
      <c r="P117" s="221">
        <v>39</v>
      </c>
      <c r="Q117" s="232">
        <v>0.8</v>
      </c>
      <c r="R117" s="233">
        <f t="shared" si="17"/>
        <v>38.400000000000006</v>
      </c>
      <c r="S117" s="252">
        <v>8424200000</v>
      </c>
      <c r="T117" s="234" t="s">
        <v>325</v>
      </c>
    </row>
    <row r="118" spans="1:20" ht="18" customHeight="1">
      <c r="A118" s="200">
        <v>4</v>
      </c>
      <c r="B118" s="206" t="s">
        <v>328</v>
      </c>
      <c r="C118" s="206" t="s">
        <v>321</v>
      </c>
      <c r="D118" s="203" t="s">
        <v>322</v>
      </c>
      <c r="E118" s="208" t="s">
        <v>41</v>
      </c>
      <c r="F118" s="202" t="s">
        <v>323</v>
      </c>
      <c r="G118" s="208" t="s">
        <v>41</v>
      </c>
      <c r="H118" s="202" t="s">
        <v>324</v>
      </c>
      <c r="I118" s="220">
        <v>48</v>
      </c>
      <c r="J118" s="221">
        <f t="shared" si="20"/>
        <v>12.3</v>
      </c>
      <c r="K118" s="221">
        <v>13.8</v>
      </c>
      <c r="L118" s="222">
        <v>1</v>
      </c>
      <c r="M118" s="221">
        <f t="shared" si="21"/>
        <v>13.481</v>
      </c>
      <c r="N118" s="206">
        <v>61</v>
      </c>
      <c r="O118" s="221">
        <v>34</v>
      </c>
      <c r="P118" s="221">
        <v>39</v>
      </c>
      <c r="Q118" s="232">
        <v>0.8</v>
      </c>
      <c r="R118" s="233">
        <f t="shared" si="17"/>
        <v>38.400000000000006</v>
      </c>
      <c r="S118" s="252">
        <v>8424200000</v>
      </c>
      <c r="T118" s="234" t="s">
        <v>325</v>
      </c>
    </row>
    <row r="119" spans="1:20" ht="18" customHeight="1">
      <c r="A119" s="200">
        <v>5</v>
      </c>
      <c r="B119" s="206" t="s">
        <v>329</v>
      </c>
      <c r="C119" s="206" t="s">
        <v>321</v>
      </c>
      <c r="D119" s="203" t="s">
        <v>322</v>
      </c>
      <c r="E119" s="208" t="s">
        <v>41</v>
      </c>
      <c r="F119" s="202" t="s">
        <v>323</v>
      </c>
      <c r="G119" s="208" t="s">
        <v>41</v>
      </c>
      <c r="H119" s="202" t="s">
        <v>324</v>
      </c>
      <c r="I119" s="220">
        <v>48</v>
      </c>
      <c r="J119" s="221">
        <f t="shared" si="20"/>
        <v>12.3</v>
      </c>
      <c r="K119" s="221">
        <v>13.8</v>
      </c>
      <c r="L119" s="222">
        <v>1</v>
      </c>
      <c r="M119" s="221">
        <f t="shared" si="21"/>
        <v>13.481</v>
      </c>
      <c r="N119" s="206">
        <v>61</v>
      </c>
      <c r="O119" s="221">
        <v>34</v>
      </c>
      <c r="P119" s="221">
        <v>39</v>
      </c>
      <c r="Q119" s="232">
        <v>0.8</v>
      </c>
      <c r="R119" s="233">
        <f t="shared" si="17"/>
        <v>38.400000000000006</v>
      </c>
      <c r="S119" s="252">
        <v>8424200000</v>
      </c>
      <c r="T119" s="234" t="s">
        <v>325</v>
      </c>
    </row>
    <row r="120" spans="1:20" ht="18" customHeight="1">
      <c r="A120" s="200">
        <v>1</v>
      </c>
      <c r="B120" s="201" t="s">
        <v>330</v>
      </c>
      <c r="C120" s="207" t="s">
        <v>331</v>
      </c>
      <c r="D120" s="203" t="s">
        <v>332</v>
      </c>
      <c r="E120" s="208" t="s">
        <v>41</v>
      </c>
      <c r="F120" s="202" t="s">
        <v>333</v>
      </c>
      <c r="G120" s="208" t="s">
        <v>41</v>
      </c>
      <c r="H120" s="202" t="s">
        <v>334</v>
      </c>
      <c r="I120" s="220">
        <v>48</v>
      </c>
      <c r="J120" s="221">
        <f t="shared" si="20"/>
        <v>12.3</v>
      </c>
      <c r="K120" s="221">
        <v>13.8</v>
      </c>
      <c r="L120" s="222">
        <v>1</v>
      </c>
      <c r="M120" s="221">
        <f t="shared" si="21"/>
        <v>13.481</v>
      </c>
      <c r="N120" s="206">
        <v>61</v>
      </c>
      <c r="O120" s="221">
        <v>34</v>
      </c>
      <c r="P120" s="221">
        <v>39</v>
      </c>
      <c r="Q120" s="232">
        <v>0.5</v>
      </c>
      <c r="R120" s="233">
        <f t="shared" si="17"/>
        <v>24</v>
      </c>
      <c r="S120" s="252">
        <v>9021100000</v>
      </c>
      <c r="T120" s="234" t="s">
        <v>335</v>
      </c>
    </row>
    <row r="121" spans="1:20" ht="18" customHeight="1">
      <c r="A121" s="200">
        <v>2</v>
      </c>
      <c r="B121" s="206" t="s">
        <v>336</v>
      </c>
      <c r="C121" s="207" t="s">
        <v>331</v>
      </c>
      <c r="D121" s="203" t="s">
        <v>332</v>
      </c>
      <c r="E121" s="208" t="s">
        <v>41</v>
      </c>
      <c r="F121" s="202" t="s">
        <v>333</v>
      </c>
      <c r="G121" s="208" t="s">
        <v>41</v>
      </c>
      <c r="H121" s="202" t="s">
        <v>334</v>
      </c>
      <c r="I121" s="220">
        <v>48</v>
      </c>
      <c r="J121" s="221">
        <f t="shared" si="20"/>
        <v>5.68</v>
      </c>
      <c r="K121" s="221">
        <v>7.18</v>
      </c>
      <c r="L121" s="222">
        <v>1</v>
      </c>
      <c r="M121" s="221">
        <f t="shared" si="21"/>
        <v>13.481</v>
      </c>
      <c r="N121" s="206">
        <v>61</v>
      </c>
      <c r="O121" s="221">
        <v>34</v>
      </c>
      <c r="P121" s="221">
        <v>39</v>
      </c>
      <c r="Q121" s="232">
        <v>0.5</v>
      </c>
      <c r="R121" s="233">
        <f t="shared" si="17"/>
        <v>24</v>
      </c>
      <c r="S121" s="252">
        <v>9021100000</v>
      </c>
      <c r="T121" s="234" t="s">
        <v>335</v>
      </c>
    </row>
    <row r="122" spans="1:20" ht="18" customHeight="1">
      <c r="A122" s="200">
        <v>3</v>
      </c>
      <c r="B122" s="206" t="s">
        <v>337</v>
      </c>
      <c r="C122" s="207" t="s">
        <v>331</v>
      </c>
      <c r="D122" s="203" t="s">
        <v>332</v>
      </c>
      <c r="E122" s="208" t="s">
        <v>41</v>
      </c>
      <c r="F122" s="202" t="s">
        <v>333</v>
      </c>
      <c r="G122" s="208" t="s">
        <v>41</v>
      </c>
      <c r="H122" s="202" t="s">
        <v>334</v>
      </c>
      <c r="I122" s="220">
        <v>48</v>
      </c>
      <c r="J122" s="221">
        <f t="shared" si="20"/>
        <v>5.68</v>
      </c>
      <c r="K122" s="221">
        <v>7.18</v>
      </c>
      <c r="L122" s="222">
        <v>1</v>
      </c>
      <c r="M122" s="221">
        <f t="shared" si="21"/>
        <v>13.481</v>
      </c>
      <c r="N122" s="206">
        <v>61</v>
      </c>
      <c r="O122" s="221">
        <v>34</v>
      </c>
      <c r="P122" s="221">
        <v>39</v>
      </c>
      <c r="Q122" s="232">
        <v>0.5</v>
      </c>
      <c r="R122" s="233">
        <f t="shared" si="17"/>
        <v>24</v>
      </c>
      <c r="S122" s="252">
        <v>9021100000</v>
      </c>
      <c r="T122" s="234" t="s">
        <v>335</v>
      </c>
    </row>
    <row r="123" spans="1:20" ht="18" customHeight="1">
      <c r="A123" s="200">
        <v>4</v>
      </c>
      <c r="B123" s="206" t="s">
        <v>338</v>
      </c>
      <c r="C123" s="207" t="s">
        <v>331</v>
      </c>
      <c r="D123" s="203" t="s">
        <v>332</v>
      </c>
      <c r="E123" s="208" t="s">
        <v>41</v>
      </c>
      <c r="F123" s="202" t="s">
        <v>333</v>
      </c>
      <c r="G123" s="208" t="s">
        <v>41</v>
      </c>
      <c r="H123" s="202" t="s">
        <v>334</v>
      </c>
      <c r="I123" s="220">
        <v>46</v>
      </c>
      <c r="J123" s="221">
        <f t="shared" si="20"/>
        <v>5.69</v>
      </c>
      <c r="K123" s="221">
        <v>7.19</v>
      </c>
      <c r="L123" s="222">
        <v>1</v>
      </c>
      <c r="M123" s="221">
        <f t="shared" si="21"/>
        <v>13.481</v>
      </c>
      <c r="N123" s="206">
        <v>61</v>
      </c>
      <c r="O123" s="221">
        <v>34</v>
      </c>
      <c r="P123" s="221">
        <v>39</v>
      </c>
      <c r="Q123" s="232">
        <v>0.5</v>
      </c>
      <c r="R123" s="233">
        <f t="shared" si="17"/>
        <v>23</v>
      </c>
      <c r="S123" s="252">
        <v>9021100000</v>
      </c>
      <c r="T123" s="234" t="s">
        <v>335</v>
      </c>
    </row>
    <row r="124" spans="1:20" ht="18" customHeight="1">
      <c r="A124" s="310">
        <v>1</v>
      </c>
      <c r="B124" s="322" t="s">
        <v>339</v>
      </c>
      <c r="C124" s="244" t="s">
        <v>340</v>
      </c>
      <c r="D124" s="242" t="s">
        <v>341</v>
      </c>
      <c r="E124" s="245" t="s">
        <v>342</v>
      </c>
      <c r="F124" s="246" t="s">
        <v>343</v>
      </c>
      <c r="G124" s="208" t="s">
        <v>41</v>
      </c>
      <c r="H124" s="247" t="s">
        <v>344</v>
      </c>
      <c r="I124" s="242">
        <v>100</v>
      </c>
      <c r="J124" s="310">
        <f t="shared" si="20"/>
        <v>10.5</v>
      </c>
      <c r="K124" s="310">
        <v>12</v>
      </c>
      <c r="L124" s="310">
        <v>1</v>
      </c>
      <c r="M124" s="310">
        <f t="shared" si="21"/>
        <v>7.104166666666667</v>
      </c>
      <c r="N124" s="310">
        <v>31</v>
      </c>
      <c r="O124" s="310">
        <v>55</v>
      </c>
      <c r="P124" s="310">
        <v>25</v>
      </c>
      <c r="Q124" s="232">
        <v>0.47</v>
      </c>
      <c r="R124" s="233">
        <f t="shared" si="17"/>
        <v>47</v>
      </c>
      <c r="S124" s="245">
        <v>8443999090</v>
      </c>
      <c r="T124" s="253" t="s">
        <v>345</v>
      </c>
    </row>
    <row r="125" spans="1:20" ht="18" customHeight="1">
      <c r="A125" s="310"/>
      <c r="B125" s="322"/>
      <c r="C125" s="244" t="s">
        <v>346</v>
      </c>
      <c r="D125" s="203" t="s">
        <v>347</v>
      </c>
      <c r="E125" s="245" t="s">
        <v>348</v>
      </c>
      <c r="F125" s="246" t="s">
        <v>349</v>
      </c>
      <c r="G125" s="208" t="s">
        <v>41</v>
      </c>
      <c r="H125" s="247" t="s">
        <v>350</v>
      </c>
      <c r="I125" s="242">
        <v>40</v>
      </c>
      <c r="J125" s="310"/>
      <c r="K125" s="310"/>
      <c r="L125" s="310"/>
      <c r="M125" s="310"/>
      <c r="N125" s="310"/>
      <c r="O125" s="310"/>
      <c r="P125" s="310"/>
      <c r="Q125" s="232">
        <v>0.47</v>
      </c>
      <c r="R125" s="233">
        <f t="shared" si="17"/>
        <v>18.799999999999997</v>
      </c>
      <c r="S125" s="245">
        <v>3923290000</v>
      </c>
      <c r="T125" s="253" t="s">
        <v>351</v>
      </c>
    </row>
    <row r="126" spans="1:20" ht="18" customHeight="1">
      <c r="A126" s="243">
        <v>2</v>
      </c>
      <c r="B126" s="243" t="s">
        <v>352</v>
      </c>
      <c r="C126" s="244" t="s">
        <v>346</v>
      </c>
      <c r="D126" s="203" t="s">
        <v>347</v>
      </c>
      <c r="E126" s="245" t="s">
        <v>348</v>
      </c>
      <c r="F126" s="246" t="s">
        <v>349</v>
      </c>
      <c r="G126" s="208" t="s">
        <v>41</v>
      </c>
      <c r="H126" s="247" t="s">
        <v>350</v>
      </c>
      <c r="I126" s="242">
        <v>57</v>
      </c>
      <c r="J126" s="243">
        <f t="shared" ref="J126:J152" si="22">K126-1.5</f>
        <v>10.5</v>
      </c>
      <c r="K126" s="243">
        <v>12</v>
      </c>
      <c r="L126" s="243">
        <v>1</v>
      </c>
      <c r="M126" s="243">
        <f t="shared" ref="M126:M152" si="23">N126*O126*P126/6000</f>
        <v>7.104166666666667</v>
      </c>
      <c r="N126" s="243">
        <v>31</v>
      </c>
      <c r="O126" s="243">
        <v>55</v>
      </c>
      <c r="P126" s="243">
        <v>25</v>
      </c>
      <c r="Q126" s="232">
        <v>0.47</v>
      </c>
      <c r="R126" s="233">
        <f t="shared" si="17"/>
        <v>26.79</v>
      </c>
      <c r="S126" s="245">
        <v>3923290000</v>
      </c>
      <c r="T126" s="253" t="s">
        <v>351</v>
      </c>
    </row>
    <row r="127" spans="1:20" ht="18" customHeight="1">
      <c r="A127" s="243">
        <v>3</v>
      </c>
      <c r="B127" s="243" t="s">
        <v>353</v>
      </c>
      <c r="C127" s="244" t="s">
        <v>346</v>
      </c>
      <c r="D127" s="203" t="s">
        <v>347</v>
      </c>
      <c r="E127" s="245" t="s">
        <v>348</v>
      </c>
      <c r="F127" s="246" t="s">
        <v>349</v>
      </c>
      <c r="G127" s="208" t="s">
        <v>41</v>
      </c>
      <c r="H127" s="247" t="s">
        <v>350</v>
      </c>
      <c r="I127" s="242">
        <v>57</v>
      </c>
      <c r="J127" s="243">
        <f t="shared" si="22"/>
        <v>10.5</v>
      </c>
      <c r="K127" s="243">
        <v>12</v>
      </c>
      <c r="L127" s="243">
        <v>1</v>
      </c>
      <c r="M127" s="243">
        <f t="shared" si="23"/>
        <v>7.104166666666667</v>
      </c>
      <c r="N127" s="243">
        <v>31</v>
      </c>
      <c r="O127" s="243">
        <v>55</v>
      </c>
      <c r="P127" s="243">
        <v>25</v>
      </c>
      <c r="Q127" s="232">
        <v>0.47</v>
      </c>
      <c r="R127" s="233">
        <f t="shared" si="17"/>
        <v>26.79</v>
      </c>
      <c r="S127" s="245">
        <v>3923290000</v>
      </c>
      <c r="T127" s="254" t="s">
        <v>351</v>
      </c>
    </row>
    <row r="128" spans="1:20" ht="18" customHeight="1">
      <c r="A128" s="243">
        <v>4</v>
      </c>
      <c r="B128" s="243" t="s">
        <v>354</v>
      </c>
      <c r="C128" s="244" t="s">
        <v>346</v>
      </c>
      <c r="D128" s="203" t="s">
        <v>347</v>
      </c>
      <c r="E128" s="248" t="s">
        <v>348</v>
      </c>
      <c r="F128" s="249" t="s">
        <v>349</v>
      </c>
      <c r="G128" s="208" t="s">
        <v>41</v>
      </c>
      <c r="H128" s="247" t="s">
        <v>350</v>
      </c>
      <c r="I128" s="242">
        <v>57</v>
      </c>
      <c r="J128" s="243">
        <f t="shared" si="22"/>
        <v>10.5</v>
      </c>
      <c r="K128" s="243">
        <v>12</v>
      </c>
      <c r="L128" s="243">
        <v>1</v>
      </c>
      <c r="M128" s="243">
        <f t="shared" si="23"/>
        <v>7.104166666666667</v>
      </c>
      <c r="N128" s="243">
        <v>31</v>
      </c>
      <c r="O128" s="243">
        <v>55</v>
      </c>
      <c r="P128" s="243">
        <v>25</v>
      </c>
      <c r="Q128" s="232">
        <v>0.47</v>
      </c>
      <c r="R128" s="233">
        <f t="shared" si="17"/>
        <v>26.79</v>
      </c>
      <c r="S128" s="248">
        <v>3923290000</v>
      </c>
      <c r="T128" s="253" t="s">
        <v>351</v>
      </c>
    </row>
    <row r="129" spans="1:20" ht="18" customHeight="1">
      <c r="A129" s="243">
        <v>5</v>
      </c>
      <c r="B129" s="243" t="s">
        <v>355</v>
      </c>
      <c r="C129" s="244" t="s">
        <v>346</v>
      </c>
      <c r="D129" s="203" t="s">
        <v>347</v>
      </c>
      <c r="E129" s="245" t="s">
        <v>348</v>
      </c>
      <c r="F129" s="246" t="s">
        <v>349</v>
      </c>
      <c r="G129" s="208" t="s">
        <v>41</v>
      </c>
      <c r="H129" s="247" t="s">
        <v>350</v>
      </c>
      <c r="I129" s="242">
        <v>89</v>
      </c>
      <c r="J129" s="243">
        <f t="shared" si="22"/>
        <v>17.399999999999999</v>
      </c>
      <c r="K129" s="243">
        <v>18.899999999999999</v>
      </c>
      <c r="L129" s="243">
        <v>1</v>
      </c>
      <c r="M129" s="243">
        <f t="shared" si="23"/>
        <v>11.2</v>
      </c>
      <c r="N129" s="243">
        <v>40</v>
      </c>
      <c r="O129" s="243">
        <v>56</v>
      </c>
      <c r="P129" s="243">
        <v>30</v>
      </c>
      <c r="Q129" s="232">
        <v>0.47</v>
      </c>
      <c r="R129" s="233">
        <f t="shared" si="17"/>
        <v>41.83</v>
      </c>
      <c r="S129" s="245">
        <v>3923290000</v>
      </c>
      <c r="T129" s="253" t="s">
        <v>351</v>
      </c>
    </row>
    <row r="130" spans="1:20" ht="18" customHeight="1">
      <c r="A130" s="200">
        <v>1</v>
      </c>
      <c r="B130" s="255" t="s">
        <v>356</v>
      </c>
      <c r="C130" s="256" t="s">
        <v>357</v>
      </c>
      <c r="D130" s="203" t="s">
        <v>358</v>
      </c>
      <c r="E130" s="246" t="s">
        <v>41</v>
      </c>
      <c r="F130" s="245" t="s">
        <v>359</v>
      </c>
      <c r="G130" s="208" t="s">
        <v>41</v>
      </c>
      <c r="H130" s="239" t="s">
        <v>360</v>
      </c>
      <c r="I130" s="242">
        <v>9</v>
      </c>
      <c r="J130" s="221">
        <f t="shared" si="22"/>
        <v>6.9499999999999993</v>
      </c>
      <c r="K130" s="221">
        <v>8.4499999999999993</v>
      </c>
      <c r="L130" s="243">
        <v>1</v>
      </c>
      <c r="M130" s="221">
        <f t="shared" si="23"/>
        <v>10.353</v>
      </c>
      <c r="N130" s="206">
        <v>42</v>
      </c>
      <c r="O130" s="221">
        <v>51</v>
      </c>
      <c r="P130" s="221">
        <v>29</v>
      </c>
      <c r="Q130" s="232">
        <v>3.12</v>
      </c>
      <c r="R130" s="233">
        <f t="shared" si="17"/>
        <v>28.080000000000002</v>
      </c>
      <c r="S130" s="245">
        <v>9205903000</v>
      </c>
      <c r="T130" s="234" t="s">
        <v>361</v>
      </c>
    </row>
    <row r="131" spans="1:20" ht="18" customHeight="1">
      <c r="A131" s="200">
        <v>2</v>
      </c>
      <c r="B131" s="253" t="s">
        <v>362</v>
      </c>
      <c r="C131" s="256" t="s">
        <v>357</v>
      </c>
      <c r="D131" s="203" t="s">
        <v>358</v>
      </c>
      <c r="E131" s="246" t="s">
        <v>41</v>
      </c>
      <c r="F131" s="245" t="s">
        <v>359</v>
      </c>
      <c r="G131" s="208" t="s">
        <v>41</v>
      </c>
      <c r="H131" s="239" t="s">
        <v>360</v>
      </c>
      <c r="I131" s="242">
        <v>11</v>
      </c>
      <c r="J131" s="221">
        <f t="shared" si="22"/>
        <v>8.35</v>
      </c>
      <c r="K131" s="221">
        <v>9.85</v>
      </c>
      <c r="L131" s="243">
        <v>1</v>
      </c>
      <c r="M131" s="221">
        <f t="shared" si="23"/>
        <v>12.896000000000001</v>
      </c>
      <c r="N131" s="206">
        <v>31</v>
      </c>
      <c r="O131" s="221">
        <v>52</v>
      </c>
      <c r="P131" s="221">
        <v>48</v>
      </c>
      <c r="Q131" s="232">
        <v>3.12</v>
      </c>
      <c r="R131" s="233">
        <f t="shared" si="17"/>
        <v>34.32</v>
      </c>
      <c r="S131" s="245">
        <v>9205903000</v>
      </c>
      <c r="T131" s="234" t="s">
        <v>361</v>
      </c>
    </row>
    <row r="132" spans="1:20" ht="18" customHeight="1">
      <c r="A132" s="200">
        <v>3</v>
      </c>
      <c r="B132" s="253" t="s">
        <v>363</v>
      </c>
      <c r="C132" s="256" t="s">
        <v>357</v>
      </c>
      <c r="D132" s="203" t="s">
        <v>358</v>
      </c>
      <c r="E132" s="246" t="s">
        <v>41</v>
      </c>
      <c r="F132" s="245" t="s">
        <v>359</v>
      </c>
      <c r="G132" s="208" t="s">
        <v>41</v>
      </c>
      <c r="H132" s="239" t="s">
        <v>360</v>
      </c>
      <c r="I132" s="242">
        <v>10</v>
      </c>
      <c r="J132" s="221">
        <f t="shared" si="22"/>
        <v>8.35</v>
      </c>
      <c r="K132" s="221">
        <v>9.85</v>
      </c>
      <c r="L132" s="243">
        <v>1</v>
      </c>
      <c r="M132" s="221">
        <f t="shared" si="23"/>
        <v>12.896000000000001</v>
      </c>
      <c r="N132" s="206">
        <v>31</v>
      </c>
      <c r="O132" s="221">
        <v>52</v>
      </c>
      <c r="P132" s="221">
        <v>48</v>
      </c>
      <c r="Q132" s="232">
        <v>3.12</v>
      </c>
      <c r="R132" s="233">
        <f t="shared" si="17"/>
        <v>31.200000000000003</v>
      </c>
      <c r="S132" s="245">
        <v>9205903000</v>
      </c>
      <c r="T132" s="234" t="s">
        <v>361</v>
      </c>
    </row>
    <row r="133" spans="1:20" ht="18" customHeight="1">
      <c r="A133" s="200">
        <v>1</v>
      </c>
      <c r="B133" s="257" t="s">
        <v>364</v>
      </c>
      <c r="C133" s="258" t="s">
        <v>365</v>
      </c>
      <c r="D133" s="203" t="s">
        <v>366</v>
      </c>
      <c r="E133" s="259" t="s">
        <v>41</v>
      </c>
      <c r="F133" s="259" t="s">
        <v>367</v>
      </c>
      <c r="G133" s="260" t="s">
        <v>41</v>
      </c>
      <c r="H133" s="261" t="s">
        <v>368</v>
      </c>
      <c r="I133" s="262">
        <v>216</v>
      </c>
      <c r="J133" s="279">
        <f t="shared" si="22"/>
        <v>27</v>
      </c>
      <c r="K133" s="279">
        <v>28.5</v>
      </c>
      <c r="L133" s="280">
        <v>1</v>
      </c>
      <c r="M133" s="279">
        <f t="shared" si="23"/>
        <v>18.862666666666666</v>
      </c>
      <c r="N133" s="281">
        <v>43</v>
      </c>
      <c r="O133" s="279">
        <v>56</v>
      </c>
      <c r="P133" s="279">
        <v>47</v>
      </c>
      <c r="Q133" s="232">
        <v>1.5</v>
      </c>
      <c r="R133" s="233">
        <f t="shared" si="17"/>
        <v>324</v>
      </c>
      <c r="S133" s="262">
        <v>610433000</v>
      </c>
      <c r="T133" s="285" t="s">
        <v>369</v>
      </c>
    </row>
    <row r="134" spans="1:20" ht="18" customHeight="1">
      <c r="A134" s="200">
        <v>2</v>
      </c>
      <c r="B134" s="262" t="s">
        <v>370</v>
      </c>
      <c r="C134" s="258" t="s">
        <v>365</v>
      </c>
      <c r="D134" s="203" t="s">
        <v>366</v>
      </c>
      <c r="E134" s="259" t="s">
        <v>41</v>
      </c>
      <c r="F134" s="259" t="s">
        <v>367</v>
      </c>
      <c r="G134" s="260" t="s">
        <v>41</v>
      </c>
      <c r="H134" s="261" t="s">
        <v>368</v>
      </c>
      <c r="I134" s="262">
        <v>216</v>
      </c>
      <c r="J134" s="279">
        <f t="shared" si="22"/>
        <v>27</v>
      </c>
      <c r="K134" s="279">
        <v>28.5</v>
      </c>
      <c r="L134" s="280">
        <v>1</v>
      </c>
      <c r="M134" s="279">
        <f t="shared" si="23"/>
        <v>18.862666666666666</v>
      </c>
      <c r="N134" s="281">
        <v>43</v>
      </c>
      <c r="O134" s="279">
        <v>56</v>
      </c>
      <c r="P134" s="279">
        <v>47</v>
      </c>
      <c r="Q134" s="232">
        <v>1.5</v>
      </c>
      <c r="R134" s="233">
        <f t="shared" si="17"/>
        <v>324</v>
      </c>
      <c r="S134" s="262">
        <v>610433000</v>
      </c>
      <c r="T134" s="285" t="s">
        <v>369</v>
      </c>
    </row>
    <row r="135" spans="1:20" ht="18" customHeight="1">
      <c r="A135" s="200">
        <v>3</v>
      </c>
      <c r="B135" s="262" t="s">
        <v>371</v>
      </c>
      <c r="C135" s="258" t="s">
        <v>365</v>
      </c>
      <c r="D135" s="203" t="s">
        <v>366</v>
      </c>
      <c r="E135" s="259" t="s">
        <v>41</v>
      </c>
      <c r="F135" s="259" t="s">
        <v>367</v>
      </c>
      <c r="G135" s="260" t="s">
        <v>41</v>
      </c>
      <c r="H135" s="261" t="s">
        <v>368</v>
      </c>
      <c r="I135" s="262">
        <v>216</v>
      </c>
      <c r="J135" s="279">
        <f t="shared" si="22"/>
        <v>21.5</v>
      </c>
      <c r="K135" s="279">
        <v>23</v>
      </c>
      <c r="L135" s="280">
        <v>1</v>
      </c>
      <c r="M135" s="279">
        <f t="shared" si="23"/>
        <v>14.486666666666666</v>
      </c>
      <c r="N135" s="281">
        <v>41</v>
      </c>
      <c r="O135" s="279">
        <v>40</v>
      </c>
      <c r="P135" s="279">
        <v>53</v>
      </c>
      <c r="Q135" s="232">
        <v>1.5</v>
      </c>
      <c r="R135" s="233">
        <f t="shared" si="17"/>
        <v>324</v>
      </c>
      <c r="S135" s="262">
        <v>610433000</v>
      </c>
      <c r="T135" s="285" t="s">
        <v>369</v>
      </c>
    </row>
    <row r="136" spans="1:20" ht="18" customHeight="1">
      <c r="A136" s="200">
        <v>1</v>
      </c>
      <c r="B136" s="209" t="s">
        <v>372</v>
      </c>
      <c r="C136" s="207" t="s">
        <v>80</v>
      </c>
      <c r="D136" s="203" t="s">
        <v>81</v>
      </c>
      <c r="E136" s="208" t="s">
        <v>41</v>
      </c>
      <c r="F136" s="202" t="s">
        <v>373</v>
      </c>
      <c r="G136" s="208" t="s">
        <v>41</v>
      </c>
      <c r="H136" s="202" t="s">
        <v>374</v>
      </c>
      <c r="I136" s="202">
        <v>96</v>
      </c>
      <c r="J136" s="221">
        <f t="shared" si="22"/>
        <v>17.829999999999998</v>
      </c>
      <c r="K136" s="221">
        <v>19.329999999999998</v>
      </c>
      <c r="L136" s="280">
        <v>1</v>
      </c>
      <c r="M136" s="221">
        <f t="shared" si="23"/>
        <v>14.233333333333333</v>
      </c>
      <c r="N136" s="206">
        <v>40</v>
      </c>
      <c r="O136" s="221">
        <v>61</v>
      </c>
      <c r="P136" s="221">
        <v>35</v>
      </c>
      <c r="Q136" s="232">
        <v>0.7</v>
      </c>
      <c r="R136" s="233">
        <f t="shared" si="17"/>
        <v>67.199999999999989</v>
      </c>
      <c r="S136" s="235">
        <v>9609900000</v>
      </c>
      <c r="T136" s="286" t="s">
        <v>375</v>
      </c>
    </row>
    <row r="137" spans="1:20" ht="18" customHeight="1">
      <c r="A137" s="200">
        <v>2</v>
      </c>
      <c r="B137" s="263" t="s">
        <v>376</v>
      </c>
      <c r="C137" s="207" t="s">
        <v>80</v>
      </c>
      <c r="D137" s="203" t="s">
        <v>81</v>
      </c>
      <c r="E137" s="208" t="s">
        <v>41</v>
      </c>
      <c r="F137" s="202" t="s">
        <v>373</v>
      </c>
      <c r="G137" s="208" t="s">
        <v>41</v>
      </c>
      <c r="H137" s="202" t="s">
        <v>374</v>
      </c>
      <c r="I137" s="202">
        <v>96</v>
      </c>
      <c r="J137" s="221">
        <f t="shared" si="22"/>
        <v>17.829999999999998</v>
      </c>
      <c r="K137" s="221">
        <v>19.329999999999998</v>
      </c>
      <c r="L137" s="280">
        <v>1</v>
      </c>
      <c r="M137" s="221">
        <f t="shared" si="23"/>
        <v>14.233333333333333</v>
      </c>
      <c r="N137" s="206">
        <v>40</v>
      </c>
      <c r="O137" s="221">
        <v>61</v>
      </c>
      <c r="P137" s="221">
        <v>35</v>
      </c>
      <c r="Q137" s="232">
        <v>0.7</v>
      </c>
      <c r="R137" s="233">
        <f t="shared" si="17"/>
        <v>67.199999999999989</v>
      </c>
      <c r="S137" s="235">
        <v>9609900000</v>
      </c>
      <c r="T137" s="286" t="s">
        <v>375</v>
      </c>
    </row>
    <row r="138" spans="1:20" ht="18" customHeight="1">
      <c r="A138" s="200">
        <v>3</v>
      </c>
      <c r="B138" s="263" t="s">
        <v>377</v>
      </c>
      <c r="C138" s="207" t="s">
        <v>80</v>
      </c>
      <c r="D138" s="203" t="s">
        <v>81</v>
      </c>
      <c r="E138" s="208" t="s">
        <v>41</v>
      </c>
      <c r="F138" s="202" t="s">
        <v>373</v>
      </c>
      <c r="G138" s="208" t="s">
        <v>41</v>
      </c>
      <c r="H138" s="202" t="s">
        <v>374</v>
      </c>
      <c r="I138" s="202">
        <v>96</v>
      </c>
      <c r="J138" s="221">
        <f t="shared" si="22"/>
        <v>17.829999999999998</v>
      </c>
      <c r="K138" s="221">
        <v>19.329999999999998</v>
      </c>
      <c r="L138" s="280">
        <v>1</v>
      </c>
      <c r="M138" s="221">
        <f t="shared" si="23"/>
        <v>14.233333333333333</v>
      </c>
      <c r="N138" s="206">
        <v>40</v>
      </c>
      <c r="O138" s="221">
        <v>61</v>
      </c>
      <c r="P138" s="221">
        <v>35</v>
      </c>
      <c r="Q138" s="232">
        <v>0.7</v>
      </c>
      <c r="R138" s="233">
        <f t="shared" si="17"/>
        <v>67.199999999999989</v>
      </c>
      <c r="S138" s="235">
        <v>9609900000</v>
      </c>
      <c r="T138" s="286" t="s">
        <v>375</v>
      </c>
    </row>
    <row r="139" spans="1:20" ht="18" customHeight="1">
      <c r="A139" s="200">
        <v>4</v>
      </c>
      <c r="B139" s="263" t="s">
        <v>378</v>
      </c>
      <c r="C139" s="207" t="s">
        <v>80</v>
      </c>
      <c r="D139" s="203" t="s">
        <v>81</v>
      </c>
      <c r="E139" s="208" t="s">
        <v>41</v>
      </c>
      <c r="F139" s="202" t="s">
        <v>373</v>
      </c>
      <c r="G139" s="208" t="s">
        <v>41</v>
      </c>
      <c r="H139" s="202" t="s">
        <v>374</v>
      </c>
      <c r="I139" s="202">
        <v>96</v>
      </c>
      <c r="J139" s="221">
        <f t="shared" si="22"/>
        <v>17.829999999999998</v>
      </c>
      <c r="K139" s="221">
        <v>19.329999999999998</v>
      </c>
      <c r="L139" s="280">
        <v>1</v>
      </c>
      <c r="M139" s="221">
        <f t="shared" si="23"/>
        <v>14.233333333333333</v>
      </c>
      <c r="N139" s="206">
        <v>40</v>
      </c>
      <c r="O139" s="221">
        <v>61</v>
      </c>
      <c r="P139" s="221">
        <v>35</v>
      </c>
      <c r="Q139" s="232">
        <v>0.7</v>
      </c>
      <c r="R139" s="233">
        <f t="shared" si="17"/>
        <v>67.199999999999989</v>
      </c>
      <c r="S139" s="235">
        <v>9609900000</v>
      </c>
      <c r="T139" s="286" t="s">
        <v>375</v>
      </c>
    </row>
    <row r="140" spans="1:20" ht="18" customHeight="1">
      <c r="A140" s="200">
        <v>5</v>
      </c>
      <c r="B140" s="263" t="s">
        <v>379</v>
      </c>
      <c r="C140" s="207" t="s">
        <v>80</v>
      </c>
      <c r="D140" s="203" t="s">
        <v>81</v>
      </c>
      <c r="E140" s="208" t="s">
        <v>41</v>
      </c>
      <c r="F140" s="202" t="s">
        <v>373</v>
      </c>
      <c r="G140" s="208" t="s">
        <v>41</v>
      </c>
      <c r="H140" s="202" t="s">
        <v>374</v>
      </c>
      <c r="I140" s="202">
        <v>96</v>
      </c>
      <c r="J140" s="221">
        <f t="shared" si="22"/>
        <v>17.829999999999998</v>
      </c>
      <c r="K140" s="221">
        <v>19.329999999999998</v>
      </c>
      <c r="L140" s="280">
        <v>1</v>
      </c>
      <c r="M140" s="221">
        <f t="shared" si="23"/>
        <v>14.233333333333333</v>
      </c>
      <c r="N140" s="206">
        <v>40</v>
      </c>
      <c r="O140" s="221">
        <v>61</v>
      </c>
      <c r="P140" s="221">
        <v>35</v>
      </c>
      <c r="Q140" s="232">
        <v>0.7</v>
      </c>
      <c r="R140" s="233">
        <f t="shared" ref="R140:R155" si="24">Q140*I140</f>
        <v>67.199999999999989</v>
      </c>
      <c r="S140" s="235">
        <v>9609900000</v>
      </c>
      <c r="T140" s="286" t="s">
        <v>375</v>
      </c>
    </row>
    <row r="141" spans="1:20" ht="18" customHeight="1">
      <c r="A141" s="200">
        <v>6</v>
      </c>
      <c r="B141" s="263" t="s">
        <v>380</v>
      </c>
      <c r="C141" s="207" t="s">
        <v>80</v>
      </c>
      <c r="D141" s="203" t="s">
        <v>81</v>
      </c>
      <c r="E141" s="208" t="s">
        <v>41</v>
      </c>
      <c r="F141" s="202" t="s">
        <v>373</v>
      </c>
      <c r="G141" s="208" t="s">
        <v>41</v>
      </c>
      <c r="H141" s="202" t="s">
        <v>374</v>
      </c>
      <c r="I141" s="202">
        <v>96</v>
      </c>
      <c r="J141" s="221">
        <f t="shared" si="22"/>
        <v>17.829999999999998</v>
      </c>
      <c r="K141" s="221">
        <v>19.329999999999998</v>
      </c>
      <c r="L141" s="280">
        <v>1</v>
      </c>
      <c r="M141" s="221">
        <f t="shared" si="23"/>
        <v>14.233333333333333</v>
      </c>
      <c r="N141" s="206">
        <v>40</v>
      </c>
      <c r="O141" s="221">
        <v>61</v>
      </c>
      <c r="P141" s="221">
        <v>35</v>
      </c>
      <c r="Q141" s="232">
        <v>0.7</v>
      </c>
      <c r="R141" s="233">
        <f t="shared" si="24"/>
        <v>67.199999999999989</v>
      </c>
      <c r="S141" s="235">
        <v>9609900000</v>
      </c>
      <c r="T141" s="286" t="s">
        <v>375</v>
      </c>
    </row>
    <row r="142" spans="1:20" ht="18" customHeight="1">
      <c r="A142" s="200">
        <v>7</v>
      </c>
      <c r="B142" s="263" t="s">
        <v>381</v>
      </c>
      <c r="C142" s="207" t="s">
        <v>80</v>
      </c>
      <c r="D142" s="203" t="s">
        <v>81</v>
      </c>
      <c r="E142" s="208" t="s">
        <v>41</v>
      </c>
      <c r="F142" s="202" t="s">
        <v>373</v>
      </c>
      <c r="G142" s="208" t="s">
        <v>41</v>
      </c>
      <c r="H142" s="202" t="s">
        <v>374</v>
      </c>
      <c r="I142" s="202">
        <v>96</v>
      </c>
      <c r="J142" s="221">
        <f t="shared" si="22"/>
        <v>17.829999999999998</v>
      </c>
      <c r="K142" s="221">
        <v>19.329999999999998</v>
      </c>
      <c r="L142" s="280">
        <v>1</v>
      </c>
      <c r="M142" s="221">
        <f t="shared" si="23"/>
        <v>14.233333333333333</v>
      </c>
      <c r="N142" s="206">
        <v>40</v>
      </c>
      <c r="O142" s="221">
        <v>61</v>
      </c>
      <c r="P142" s="221">
        <v>35</v>
      </c>
      <c r="Q142" s="232">
        <v>0.7</v>
      </c>
      <c r="R142" s="233">
        <f t="shared" si="24"/>
        <v>67.199999999999989</v>
      </c>
      <c r="S142" s="235">
        <v>9609900000</v>
      </c>
      <c r="T142" s="286" t="s">
        <v>375</v>
      </c>
    </row>
    <row r="143" spans="1:20" ht="18" customHeight="1">
      <c r="A143" s="200">
        <v>8</v>
      </c>
      <c r="B143" s="263" t="s">
        <v>382</v>
      </c>
      <c r="C143" s="207" t="s">
        <v>383</v>
      </c>
      <c r="D143" s="203" t="s">
        <v>384</v>
      </c>
      <c r="E143" s="208" t="s">
        <v>41</v>
      </c>
      <c r="F143" s="202" t="s">
        <v>385</v>
      </c>
      <c r="G143" s="208" t="s">
        <v>41</v>
      </c>
      <c r="H143" s="202" t="s">
        <v>386</v>
      </c>
      <c r="I143" s="202">
        <v>200</v>
      </c>
      <c r="J143" s="221">
        <f t="shared" si="22"/>
        <v>17.829999999999998</v>
      </c>
      <c r="K143" s="221">
        <v>19.329999999999998</v>
      </c>
      <c r="L143" s="280">
        <v>1</v>
      </c>
      <c r="M143" s="221">
        <f t="shared" si="23"/>
        <v>14.233333333333333</v>
      </c>
      <c r="N143" s="206">
        <v>40</v>
      </c>
      <c r="O143" s="221">
        <v>61</v>
      </c>
      <c r="P143" s="221">
        <v>35</v>
      </c>
      <c r="Q143" s="232">
        <v>0.7</v>
      </c>
      <c r="R143" s="233">
        <f t="shared" si="24"/>
        <v>140</v>
      </c>
      <c r="S143" s="287">
        <v>8203200000</v>
      </c>
      <c r="T143" s="236" t="s">
        <v>387</v>
      </c>
    </row>
    <row r="144" spans="1:20" ht="18" customHeight="1">
      <c r="A144" s="200">
        <v>9</v>
      </c>
      <c r="B144" s="263" t="s">
        <v>388</v>
      </c>
      <c r="C144" s="207" t="s">
        <v>383</v>
      </c>
      <c r="D144" s="203" t="s">
        <v>384</v>
      </c>
      <c r="E144" s="208" t="s">
        <v>41</v>
      </c>
      <c r="F144" s="202" t="s">
        <v>385</v>
      </c>
      <c r="G144" s="208" t="s">
        <v>41</v>
      </c>
      <c r="H144" s="202" t="s">
        <v>386</v>
      </c>
      <c r="I144" s="202">
        <v>200</v>
      </c>
      <c r="J144" s="221">
        <f t="shared" si="22"/>
        <v>17.84</v>
      </c>
      <c r="K144" s="221">
        <v>19.34</v>
      </c>
      <c r="L144" s="280">
        <v>1</v>
      </c>
      <c r="M144" s="221">
        <f t="shared" si="23"/>
        <v>14.233333333333333</v>
      </c>
      <c r="N144" s="206">
        <v>40</v>
      </c>
      <c r="O144" s="221">
        <v>61</v>
      </c>
      <c r="P144" s="221">
        <v>35</v>
      </c>
      <c r="Q144" s="232">
        <v>0.7</v>
      </c>
      <c r="R144" s="233">
        <f t="shared" si="24"/>
        <v>140</v>
      </c>
      <c r="S144" s="287">
        <v>8203200000</v>
      </c>
      <c r="T144" s="236" t="s">
        <v>387</v>
      </c>
    </row>
    <row r="145" spans="1:20" ht="18" customHeight="1">
      <c r="A145" s="200">
        <v>1</v>
      </c>
      <c r="B145" s="201" t="s">
        <v>389</v>
      </c>
      <c r="C145" s="264" t="s">
        <v>390</v>
      </c>
      <c r="D145" s="203" t="s">
        <v>391</v>
      </c>
      <c r="E145" s="206" t="s">
        <v>392</v>
      </c>
      <c r="F145" s="206" t="s">
        <v>393</v>
      </c>
      <c r="G145" s="206" t="s">
        <v>392</v>
      </c>
      <c r="H145" s="265" t="s">
        <v>394</v>
      </c>
      <c r="I145" s="281">
        <v>50</v>
      </c>
      <c r="J145" s="221">
        <f t="shared" si="22"/>
        <v>15.27</v>
      </c>
      <c r="K145" s="221">
        <v>16.77</v>
      </c>
      <c r="L145" s="280">
        <v>1</v>
      </c>
      <c r="M145" s="221">
        <f t="shared" si="23"/>
        <v>22.815000000000001</v>
      </c>
      <c r="N145" s="206">
        <v>39</v>
      </c>
      <c r="O145" s="221">
        <v>65</v>
      </c>
      <c r="P145" s="221">
        <v>54</v>
      </c>
      <c r="Q145" s="232">
        <v>0.5</v>
      </c>
      <c r="R145" s="233">
        <f t="shared" si="24"/>
        <v>25</v>
      </c>
      <c r="S145" s="288">
        <v>9405408200</v>
      </c>
      <c r="T145" s="289" t="s">
        <v>395</v>
      </c>
    </row>
    <row r="146" spans="1:20" ht="18" customHeight="1">
      <c r="A146" s="200">
        <v>2</v>
      </c>
      <c r="B146" s="266" t="s">
        <v>396</v>
      </c>
      <c r="C146" s="264" t="s">
        <v>390</v>
      </c>
      <c r="D146" s="203" t="s">
        <v>391</v>
      </c>
      <c r="E146" s="206" t="s">
        <v>392</v>
      </c>
      <c r="F146" s="206" t="s">
        <v>393</v>
      </c>
      <c r="G146" s="206" t="s">
        <v>392</v>
      </c>
      <c r="H146" s="265" t="s">
        <v>394</v>
      </c>
      <c r="I146" s="281">
        <v>50</v>
      </c>
      <c r="J146" s="221">
        <f t="shared" si="22"/>
        <v>15.280000000000001</v>
      </c>
      <c r="K146" s="221">
        <v>16.78</v>
      </c>
      <c r="L146" s="280">
        <v>1</v>
      </c>
      <c r="M146" s="221">
        <f t="shared" si="23"/>
        <v>22.815000000000001</v>
      </c>
      <c r="N146" s="206">
        <v>39</v>
      </c>
      <c r="O146" s="221">
        <v>65</v>
      </c>
      <c r="P146" s="221">
        <v>54</v>
      </c>
      <c r="Q146" s="232">
        <v>0.5</v>
      </c>
      <c r="R146" s="233">
        <f t="shared" si="24"/>
        <v>25</v>
      </c>
      <c r="S146" s="288">
        <v>9405408200</v>
      </c>
      <c r="T146" s="289" t="s">
        <v>395</v>
      </c>
    </row>
    <row r="147" spans="1:20" ht="18" customHeight="1">
      <c r="A147" s="200">
        <v>3</v>
      </c>
      <c r="B147" s="266" t="s">
        <v>397</v>
      </c>
      <c r="C147" s="264" t="s">
        <v>390</v>
      </c>
      <c r="D147" s="203" t="s">
        <v>391</v>
      </c>
      <c r="E147" s="206" t="s">
        <v>392</v>
      </c>
      <c r="F147" s="206" t="s">
        <v>393</v>
      </c>
      <c r="G147" s="206" t="s">
        <v>392</v>
      </c>
      <c r="H147" s="265" t="s">
        <v>394</v>
      </c>
      <c r="I147" s="281">
        <v>45</v>
      </c>
      <c r="J147" s="221">
        <f t="shared" si="22"/>
        <v>19.100000000000001</v>
      </c>
      <c r="K147" s="221">
        <v>20.6</v>
      </c>
      <c r="L147" s="280">
        <v>1</v>
      </c>
      <c r="M147" s="221">
        <f t="shared" si="23"/>
        <v>11.97</v>
      </c>
      <c r="N147" s="206">
        <v>35</v>
      </c>
      <c r="O147" s="221">
        <v>54</v>
      </c>
      <c r="P147" s="221">
        <v>38</v>
      </c>
      <c r="Q147" s="232">
        <v>0.5</v>
      </c>
      <c r="R147" s="233">
        <f t="shared" si="24"/>
        <v>22.5</v>
      </c>
      <c r="S147" s="288">
        <v>9405408200</v>
      </c>
      <c r="T147" s="289" t="s">
        <v>398</v>
      </c>
    </row>
    <row r="148" spans="1:20" ht="18" customHeight="1">
      <c r="A148" s="200">
        <v>4</v>
      </c>
      <c r="B148" s="266" t="s">
        <v>399</v>
      </c>
      <c r="C148" s="264" t="s">
        <v>390</v>
      </c>
      <c r="D148" s="203" t="s">
        <v>391</v>
      </c>
      <c r="E148" s="206" t="s">
        <v>392</v>
      </c>
      <c r="F148" s="206" t="s">
        <v>393</v>
      </c>
      <c r="G148" s="206" t="s">
        <v>392</v>
      </c>
      <c r="H148" s="265" t="s">
        <v>394</v>
      </c>
      <c r="I148" s="281">
        <v>45</v>
      </c>
      <c r="J148" s="221">
        <f t="shared" si="22"/>
        <v>19.100000000000001</v>
      </c>
      <c r="K148" s="221">
        <v>20.6</v>
      </c>
      <c r="L148" s="280">
        <v>1</v>
      </c>
      <c r="M148" s="221">
        <f t="shared" si="23"/>
        <v>11.97</v>
      </c>
      <c r="N148" s="206">
        <v>35</v>
      </c>
      <c r="O148" s="221">
        <v>54</v>
      </c>
      <c r="P148" s="221">
        <v>38</v>
      </c>
      <c r="Q148" s="232">
        <v>0.5</v>
      </c>
      <c r="R148" s="233">
        <f t="shared" si="24"/>
        <v>22.5</v>
      </c>
      <c r="S148" s="288">
        <v>9405408200</v>
      </c>
      <c r="T148" s="289" t="s">
        <v>398</v>
      </c>
    </row>
    <row r="149" spans="1:20" ht="18" customHeight="1">
      <c r="A149" s="200">
        <v>5</v>
      </c>
      <c r="B149" s="266" t="s">
        <v>400</v>
      </c>
      <c r="C149" s="264" t="s">
        <v>390</v>
      </c>
      <c r="D149" s="203" t="s">
        <v>391</v>
      </c>
      <c r="E149" s="206" t="s">
        <v>392</v>
      </c>
      <c r="F149" s="206" t="s">
        <v>393</v>
      </c>
      <c r="G149" s="206" t="s">
        <v>392</v>
      </c>
      <c r="H149" s="265" t="s">
        <v>394</v>
      </c>
      <c r="I149" s="281">
        <v>45</v>
      </c>
      <c r="J149" s="221">
        <f t="shared" si="22"/>
        <v>19.100000000000001</v>
      </c>
      <c r="K149" s="221">
        <v>20.6</v>
      </c>
      <c r="L149" s="280">
        <v>1</v>
      </c>
      <c r="M149" s="221">
        <f t="shared" si="23"/>
        <v>11.97</v>
      </c>
      <c r="N149" s="206">
        <v>35</v>
      </c>
      <c r="O149" s="221">
        <v>54</v>
      </c>
      <c r="P149" s="221">
        <v>38</v>
      </c>
      <c r="Q149" s="232">
        <v>0.5</v>
      </c>
      <c r="R149" s="233">
        <f t="shared" si="24"/>
        <v>22.5</v>
      </c>
      <c r="S149" s="288">
        <v>9405408200</v>
      </c>
      <c r="T149" s="289" t="s">
        <v>401</v>
      </c>
    </row>
    <row r="150" spans="1:20" ht="18" customHeight="1">
      <c r="A150" s="200">
        <v>6</v>
      </c>
      <c r="B150" s="266" t="s">
        <v>402</v>
      </c>
      <c r="C150" s="264" t="s">
        <v>390</v>
      </c>
      <c r="D150" s="203" t="s">
        <v>391</v>
      </c>
      <c r="E150" s="206" t="s">
        <v>392</v>
      </c>
      <c r="F150" s="206" t="s">
        <v>393</v>
      </c>
      <c r="G150" s="206" t="s">
        <v>392</v>
      </c>
      <c r="H150" s="265" t="s">
        <v>394</v>
      </c>
      <c r="I150" s="281">
        <v>45</v>
      </c>
      <c r="J150" s="221">
        <f t="shared" si="22"/>
        <v>19.100000000000001</v>
      </c>
      <c r="K150" s="221">
        <v>20.6</v>
      </c>
      <c r="L150" s="280">
        <v>1</v>
      </c>
      <c r="M150" s="221">
        <f t="shared" si="23"/>
        <v>11.97</v>
      </c>
      <c r="N150" s="206">
        <v>35</v>
      </c>
      <c r="O150" s="221">
        <v>54</v>
      </c>
      <c r="P150" s="221">
        <v>38</v>
      </c>
      <c r="Q150" s="232">
        <v>0.5</v>
      </c>
      <c r="R150" s="233">
        <f t="shared" si="24"/>
        <v>22.5</v>
      </c>
      <c r="S150" s="288">
        <v>9405408200</v>
      </c>
      <c r="T150" s="289" t="s">
        <v>401</v>
      </c>
    </row>
    <row r="151" spans="1:20" ht="18" customHeight="1">
      <c r="A151" s="200">
        <v>7</v>
      </c>
      <c r="B151" s="266" t="s">
        <v>403</v>
      </c>
      <c r="C151" s="264" t="s">
        <v>390</v>
      </c>
      <c r="D151" s="203" t="s">
        <v>391</v>
      </c>
      <c r="E151" s="206" t="s">
        <v>392</v>
      </c>
      <c r="F151" s="206" t="s">
        <v>393</v>
      </c>
      <c r="G151" s="206" t="s">
        <v>392</v>
      </c>
      <c r="H151" s="265" t="s">
        <v>394</v>
      </c>
      <c r="I151" s="281">
        <v>45</v>
      </c>
      <c r="J151" s="221">
        <f t="shared" si="22"/>
        <v>19.100000000000001</v>
      </c>
      <c r="K151" s="221">
        <v>20.6</v>
      </c>
      <c r="L151" s="280">
        <v>1</v>
      </c>
      <c r="M151" s="221">
        <f t="shared" si="23"/>
        <v>11.97</v>
      </c>
      <c r="N151" s="206">
        <v>35</v>
      </c>
      <c r="O151" s="221">
        <v>54</v>
      </c>
      <c r="P151" s="221">
        <v>38</v>
      </c>
      <c r="Q151" s="232">
        <v>0.5</v>
      </c>
      <c r="R151" s="233">
        <f t="shared" si="24"/>
        <v>22.5</v>
      </c>
      <c r="S151" s="288">
        <v>9405408200</v>
      </c>
      <c r="T151" s="289" t="s">
        <v>404</v>
      </c>
    </row>
    <row r="152" spans="1:20" ht="18" customHeight="1">
      <c r="A152" s="200">
        <v>8</v>
      </c>
      <c r="B152" s="266" t="s">
        <v>405</v>
      </c>
      <c r="C152" s="264" t="s">
        <v>390</v>
      </c>
      <c r="D152" s="203" t="s">
        <v>391</v>
      </c>
      <c r="E152" s="206" t="s">
        <v>392</v>
      </c>
      <c r="F152" s="206" t="s">
        <v>393</v>
      </c>
      <c r="G152" s="206" t="s">
        <v>392</v>
      </c>
      <c r="H152" s="265" t="s">
        <v>394</v>
      </c>
      <c r="I152" s="281">
        <v>45</v>
      </c>
      <c r="J152" s="221">
        <f t="shared" si="22"/>
        <v>19.100000000000001</v>
      </c>
      <c r="K152" s="221">
        <v>20.6</v>
      </c>
      <c r="L152" s="280">
        <v>1</v>
      </c>
      <c r="M152" s="221">
        <f t="shared" si="23"/>
        <v>11.97</v>
      </c>
      <c r="N152" s="206">
        <v>35</v>
      </c>
      <c r="O152" s="221">
        <v>54</v>
      </c>
      <c r="P152" s="221">
        <v>38</v>
      </c>
      <c r="Q152" s="232">
        <v>0.5</v>
      </c>
      <c r="R152" s="233">
        <f t="shared" si="24"/>
        <v>22.5</v>
      </c>
      <c r="S152" s="288">
        <v>9405408200</v>
      </c>
      <c r="T152" s="289" t="s">
        <v>404</v>
      </c>
    </row>
    <row r="153" spans="1:20" ht="18" customHeight="1">
      <c r="A153" s="267"/>
      <c r="B153" s="268"/>
      <c r="C153" s="268"/>
      <c r="D153" s="268"/>
      <c r="E153" s="269"/>
      <c r="F153" s="270"/>
      <c r="G153" s="270"/>
      <c r="H153" s="271"/>
      <c r="I153" s="270"/>
      <c r="J153" s="270"/>
      <c r="K153" s="270"/>
      <c r="L153" s="282"/>
      <c r="M153" s="270"/>
      <c r="N153" s="270"/>
      <c r="O153" s="270"/>
      <c r="P153" s="270"/>
      <c r="Q153" s="290"/>
      <c r="R153" s="291">
        <f t="shared" si="24"/>
        <v>0</v>
      </c>
      <c r="S153" s="292"/>
      <c r="T153" s="293"/>
    </row>
    <row r="154" spans="1:20" ht="18" customHeight="1">
      <c r="A154" s="267"/>
      <c r="B154" s="268"/>
      <c r="C154" s="268"/>
      <c r="D154" s="268"/>
      <c r="E154" s="269"/>
      <c r="F154" s="270"/>
      <c r="G154" s="270"/>
      <c r="H154" s="271"/>
      <c r="I154" s="270"/>
      <c r="J154" s="270"/>
      <c r="K154" s="270"/>
      <c r="L154" s="282"/>
      <c r="M154" s="270"/>
      <c r="N154" s="270"/>
      <c r="O154" s="270"/>
      <c r="P154" s="270"/>
      <c r="Q154" s="290"/>
      <c r="R154" s="291">
        <f t="shared" si="24"/>
        <v>0</v>
      </c>
      <c r="S154" s="292"/>
      <c r="T154" s="293"/>
    </row>
    <row r="155" spans="1:20" ht="18" customHeight="1">
      <c r="A155" s="267"/>
      <c r="B155" s="268"/>
      <c r="C155" s="268"/>
      <c r="D155" s="268"/>
      <c r="E155" s="269"/>
      <c r="F155" s="270"/>
      <c r="G155" s="270"/>
      <c r="H155" s="271"/>
      <c r="I155" s="270"/>
      <c r="J155" s="270"/>
      <c r="K155" s="270"/>
      <c r="L155" s="282"/>
      <c r="M155" s="270"/>
      <c r="N155" s="270"/>
      <c r="O155" s="270"/>
      <c r="P155" s="270"/>
      <c r="Q155" s="290"/>
      <c r="R155" s="291">
        <f t="shared" si="24"/>
        <v>0</v>
      </c>
      <c r="S155" s="292"/>
      <c r="T155" s="293"/>
    </row>
    <row r="156" spans="1:20" ht="18" customHeight="1">
      <c r="A156" s="267"/>
      <c r="B156" s="337" t="s">
        <v>406</v>
      </c>
      <c r="C156" s="337"/>
      <c r="D156" s="337"/>
      <c r="E156" s="272"/>
      <c r="F156" s="272"/>
      <c r="G156" s="273"/>
      <c r="H156" s="271"/>
      <c r="I156" s="272">
        <f t="shared" ref="I156:M156" si="25">SUM(I12:I155)</f>
        <v>5710</v>
      </c>
      <c r="J156" s="283">
        <f t="shared" si="25"/>
        <v>1355.8799999999983</v>
      </c>
      <c r="K156" s="284">
        <f t="shared" si="25"/>
        <v>1489.3799999999981</v>
      </c>
      <c r="L156" s="272">
        <f t="shared" si="25"/>
        <v>89</v>
      </c>
      <c r="M156" s="273">
        <f t="shared" si="25"/>
        <v>1487.6488333333343</v>
      </c>
      <c r="N156" s="273"/>
      <c r="O156" s="273"/>
      <c r="P156" s="273"/>
      <c r="Q156" s="294"/>
      <c r="R156" s="294">
        <f>SUM(R12:R155)</f>
        <v>4993.7999999999993</v>
      </c>
      <c r="S156" s="295"/>
      <c r="T156" s="293"/>
    </row>
    <row r="157" spans="1:20" ht="18" customHeight="1">
      <c r="A157" s="274"/>
      <c r="H157" s="184"/>
      <c r="T157" s="184"/>
    </row>
    <row r="158" spans="1:20" ht="18" customHeight="1">
      <c r="B158" s="338" t="s">
        <v>407</v>
      </c>
      <c r="C158" s="338"/>
      <c r="D158" s="275">
        <f>L156</f>
        <v>89</v>
      </c>
      <c r="E158" s="184" t="s">
        <v>408</v>
      </c>
      <c r="H158" s="184"/>
      <c r="T158" s="184"/>
    </row>
    <row r="159" spans="1:20" ht="18" customHeight="1">
      <c r="B159" s="276" t="s">
        <v>409</v>
      </c>
      <c r="C159" s="277">
        <f>I156</f>
        <v>5710</v>
      </c>
      <c r="H159" s="184"/>
      <c r="T159" s="184"/>
    </row>
    <row r="160" spans="1:20" ht="18" customHeight="1">
      <c r="B160" s="184" t="s">
        <v>410</v>
      </c>
      <c r="C160" s="277">
        <f>J156</f>
        <v>1355.8799999999983</v>
      </c>
      <c r="H160" s="184"/>
      <c r="T160" s="184"/>
    </row>
    <row r="161" spans="1:19" s="184" customFormat="1" ht="18" customHeight="1">
      <c r="A161" s="186"/>
      <c r="B161" s="184" t="s">
        <v>411</v>
      </c>
      <c r="C161" s="278">
        <f>K156</f>
        <v>1489.3799999999981</v>
      </c>
      <c r="D161" s="187"/>
      <c r="L161" s="187"/>
      <c r="M161" s="187"/>
      <c r="N161" s="187"/>
      <c r="O161" s="187"/>
      <c r="P161" s="187"/>
      <c r="Q161" s="189"/>
      <c r="R161" s="189"/>
      <c r="S161" s="187"/>
    </row>
    <row r="162" spans="1:19" s="184" customFormat="1" ht="18" customHeight="1">
      <c r="A162" s="186"/>
      <c r="D162" s="187"/>
      <c r="L162" s="187"/>
      <c r="M162" s="187"/>
      <c r="N162" s="187"/>
      <c r="O162" s="187"/>
      <c r="P162" s="187"/>
      <c r="Q162" s="189"/>
      <c r="R162" s="189"/>
      <c r="S162" s="187"/>
    </row>
    <row r="163" spans="1:19" s="184" customFormat="1" ht="18" customHeight="1">
      <c r="A163" s="186"/>
      <c r="D163" s="187"/>
      <c r="L163" s="187"/>
      <c r="M163" s="187"/>
      <c r="N163" s="187"/>
      <c r="O163" s="187"/>
      <c r="P163" s="187"/>
      <c r="Q163" s="189"/>
      <c r="R163" s="189"/>
      <c r="S163" s="187"/>
    </row>
    <row r="164" spans="1:19" s="184" customFormat="1" ht="18" customHeight="1">
      <c r="A164" s="186"/>
      <c r="D164" s="187"/>
      <c r="L164" s="187"/>
      <c r="M164" s="187"/>
      <c r="N164" s="187"/>
      <c r="O164" s="187"/>
      <c r="P164" s="187"/>
      <c r="Q164" s="189"/>
      <c r="R164" s="189"/>
      <c r="S164" s="187"/>
    </row>
    <row r="165" spans="1:19" s="184" customFormat="1" ht="18" customHeight="1">
      <c r="A165" s="186"/>
      <c r="D165" s="187"/>
      <c r="L165" s="187"/>
      <c r="M165" s="187"/>
      <c r="N165" s="187"/>
      <c r="O165" s="187"/>
      <c r="P165" s="187"/>
      <c r="Q165" s="189"/>
      <c r="R165" s="189"/>
      <c r="S165" s="187"/>
    </row>
    <row r="166" spans="1:19" s="184" customFormat="1" ht="18" customHeight="1">
      <c r="A166" s="186"/>
      <c r="D166" s="187"/>
      <c r="L166" s="187"/>
      <c r="M166" s="187"/>
      <c r="N166" s="187"/>
      <c r="O166" s="187"/>
      <c r="P166" s="187"/>
      <c r="Q166" s="189"/>
      <c r="R166" s="189"/>
      <c r="S166" s="187"/>
    </row>
    <row r="167" spans="1:19" s="184" customFormat="1" ht="18" customHeight="1">
      <c r="A167" s="186"/>
      <c r="D167" s="187"/>
      <c r="L167" s="187"/>
      <c r="M167" s="187"/>
      <c r="N167" s="187"/>
      <c r="O167" s="187"/>
      <c r="P167" s="187"/>
      <c r="Q167" s="189"/>
      <c r="R167" s="189"/>
      <c r="S167" s="187"/>
    </row>
    <row r="168" spans="1:19" s="184" customFormat="1" ht="18" customHeight="1">
      <c r="A168" s="186"/>
      <c r="D168" s="187"/>
      <c r="L168" s="187"/>
      <c r="M168" s="187"/>
      <c r="N168" s="187"/>
      <c r="O168" s="187"/>
      <c r="P168" s="187"/>
      <c r="Q168" s="189"/>
      <c r="R168" s="189"/>
      <c r="S168" s="187"/>
    </row>
    <row r="169" spans="1:19" s="184" customFormat="1" ht="18" customHeight="1">
      <c r="A169" s="186"/>
      <c r="D169" s="187"/>
      <c r="L169" s="187"/>
      <c r="M169" s="187"/>
      <c r="N169" s="187"/>
      <c r="O169" s="187"/>
      <c r="P169" s="187"/>
      <c r="Q169" s="189"/>
      <c r="R169" s="189"/>
      <c r="S169" s="187"/>
    </row>
    <row r="170" spans="1:19" s="184" customFormat="1" ht="18" customHeight="1">
      <c r="A170" s="186"/>
      <c r="D170" s="187"/>
      <c r="H170" s="188"/>
      <c r="L170" s="187"/>
      <c r="M170" s="187"/>
      <c r="N170" s="187"/>
      <c r="O170" s="187"/>
      <c r="P170" s="187"/>
      <c r="Q170" s="189"/>
      <c r="R170" s="189"/>
      <c r="S170" s="187"/>
    </row>
    <row r="171" spans="1:19" s="184" customFormat="1" ht="18" customHeight="1">
      <c r="A171" s="186"/>
      <c r="D171" s="187"/>
      <c r="H171" s="188"/>
      <c r="L171" s="187"/>
      <c r="M171" s="187"/>
      <c r="N171" s="187"/>
      <c r="O171" s="187"/>
      <c r="P171" s="187"/>
      <c r="Q171" s="189"/>
      <c r="R171" s="189"/>
      <c r="S171" s="187"/>
    </row>
    <row r="172" spans="1:19" s="184" customFormat="1" ht="18" customHeight="1">
      <c r="A172" s="186"/>
      <c r="D172" s="187"/>
      <c r="H172" s="188"/>
      <c r="L172" s="187"/>
      <c r="M172" s="187"/>
      <c r="N172" s="187"/>
      <c r="O172" s="187"/>
      <c r="P172" s="187"/>
      <c r="Q172" s="189"/>
      <c r="R172" s="189"/>
      <c r="S172" s="187"/>
    </row>
    <row r="173" spans="1:19" s="184" customFormat="1" ht="18" customHeight="1">
      <c r="A173" s="186"/>
      <c r="D173" s="187"/>
      <c r="H173" s="188"/>
      <c r="L173" s="187"/>
      <c r="M173" s="187"/>
      <c r="N173" s="187"/>
      <c r="O173" s="187"/>
      <c r="P173" s="187"/>
      <c r="Q173" s="189"/>
      <c r="R173" s="189"/>
      <c r="S173" s="187"/>
    </row>
    <row r="174" spans="1:19" s="184" customFormat="1" ht="18" customHeight="1">
      <c r="A174" s="186"/>
      <c r="D174" s="187"/>
      <c r="H174" s="188"/>
      <c r="L174" s="187"/>
      <c r="M174" s="187"/>
      <c r="N174" s="187"/>
      <c r="O174" s="187"/>
      <c r="P174" s="187"/>
      <c r="Q174" s="189"/>
      <c r="R174" s="189"/>
      <c r="S174" s="187"/>
    </row>
    <row r="175" spans="1:19" s="184" customFormat="1" ht="18" customHeight="1">
      <c r="A175" s="186"/>
      <c r="D175" s="187"/>
      <c r="H175" s="188"/>
      <c r="L175" s="187"/>
      <c r="M175" s="187"/>
      <c r="N175" s="187"/>
      <c r="O175" s="187"/>
      <c r="P175" s="187"/>
      <c r="Q175" s="189"/>
      <c r="R175" s="189"/>
      <c r="S175" s="187"/>
    </row>
    <row r="176" spans="1:19" s="184" customFormat="1" ht="18" customHeight="1">
      <c r="A176" s="186"/>
      <c r="D176" s="187"/>
      <c r="H176" s="188"/>
      <c r="L176" s="187"/>
      <c r="M176" s="187"/>
      <c r="N176" s="187"/>
      <c r="O176" s="187"/>
      <c r="P176" s="187"/>
      <c r="Q176" s="189"/>
      <c r="R176" s="189"/>
      <c r="S176" s="187"/>
    </row>
    <row r="177" spans="1:19" s="184" customFormat="1" ht="18" customHeight="1">
      <c r="A177" s="186"/>
      <c r="D177" s="187"/>
      <c r="H177" s="188"/>
      <c r="L177" s="187"/>
      <c r="M177" s="187"/>
      <c r="N177" s="187"/>
      <c r="O177" s="187"/>
      <c r="P177" s="187"/>
      <c r="Q177" s="189"/>
      <c r="R177" s="189"/>
      <c r="S177" s="187"/>
    </row>
    <row r="178" spans="1:19" s="184" customFormat="1" ht="18" customHeight="1">
      <c r="A178" s="186"/>
      <c r="D178" s="187"/>
      <c r="H178" s="188"/>
      <c r="L178" s="187"/>
      <c r="M178" s="187"/>
      <c r="N178" s="187"/>
      <c r="O178" s="187"/>
      <c r="P178" s="187"/>
      <c r="Q178" s="189"/>
      <c r="R178" s="189"/>
      <c r="S178" s="187"/>
    </row>
    <row r="179" spans="1:19" s="184" customFormat="1" ht="18" customHeight="1">
      <c r="A179" s="186"/>
      <c r="D179" s="187"/>
      <c r="H179" s="188"/>
      <c r="L179" s="187"/>
      <c r="M179" s="187"/>
      <c r="N179" s="187"/>
      <c r="O179" s="187"/>
      <c r="P179" s="187"/>
      <c r="Q179" s="189"/>
      <c r="R179" s="189"/>
      <c r="S179" s="187"/>
    </row>
    <row r="180" spans="1:19" s="184" customFormat="1" ht="18" customHeight="1">
      <c r="A180" s="186"/>
      <c r="D180" s="187"/>
      <c r="H180" s="188"/>
      <c r="L180" s="187"/>
      <c r="M180" s="187"/>
      <c r="N180" s="187"/>
      <c r="O180" s="187"/>
      <c r="P180" s="187"/>
      <c r="Q180" s="189"/>
      <c r="R180" s="189"/>
      <c r="S180" s="187"/>
    </row>
    <row r="181" spans="1:19" s="184" customFormat="1" ht="18" customHeight="1">
      <c r="A181" s="186"/>
      <c r="D181" s="187"/>
      <c r="H181" s="188"/>
      <c r="L181" s="187"/>
      <c r="M181" s="187"/>
      <c r="N181" s="187"/>
      <c r="O181" s="187"/>
      <c r="P181" s="187"/>
      <c r="Q181" s="189"/>
      <c r="R181" s="189"/>
      <c r="S181" s="187"/>
    </row>
    <row r="182" spans="1:19" s="184" customFormat="1" ht="18" customHeight="1">
      <c r="A182" s="186"/>
      <c r="D182" s="187"/>
      <c r="H182" s="188"/>
      <c r="L182" s="187"/>
      <c r="M182" s="187"/>
      <c r="N182" s="187"/>
      <c r="O182" s="187"/>
      <c r="P182" s="187"/>
      <c r="Q182" s="189"/>
      <c r="R182" s="189"/>
      <c r="S182" s="187"/>
    </row>
    <row r="183" spans="1:19" s="184" customFormat="1" ht="18" customHeight="1">
      <c r="A183" s="186"/>
      <c r="D183" s="187"/>
      <c r="H183" s="188"/>
      <c r="L183" s="187"/>
      <c r="M183" s="187"/>
      <c r="N183" s="187"/>
      <c r="O183" s="187"/>
      <c r="P183" s="187"/>
      <c r="Q183" s="189"/>
      <c r="R183" s="189"/>
      <c r="S183" s="187"/>
    </row>
    <row r="184" spans="1:19" s="184" customFormat="1" ht="18" customHeight="1">
      <c r="A184" s="186"/>
      <c r="D184" s="187"/>
      <c r="H184" s="188"/>
      <c r="L184" s="187"/>
      <c r="M184" s="187"/>
      <c r="N184" s="187"/>
      <c r="O184" s="187"/>
      <c r="P184" s="187"/>
      <c r="Q184" s="189"/>
      <c r="R184" s="189"/>
      <c r="S184" s="187"/>
    </row>
    <row r="185" spans="1:19" s="184" customFormat="1" ht="18" customHeight="1">
      <c r="A185" s="186"/>
      <c r="D185" s="187"/>
      <c r="H185" s="188"/>
      <c r="L185" s="187"/>
      <c r="M185" s="187"/>
      <c r="N185" s="187"/>
      <c r="O185" s="187"/>
      <c r="P185" s="187"/>
      <c r="Q185" s="189"/>
      <c r="R185" s="189"/>
      <c r="S185" s="187"/>
    </row>
    <row r="186" spans="1:19" s="184" customFormat="1" ht="18" customHeight="1">
      <c r="A186" s="186"/>
      <c r="D186" s="187"/>
      <c r="H186" s="188"/>
      <c r="L186" s="187"/>
      <c r="M186" s="187"/>
      <c r="N186" s="187"/>
      <c r="O186" s="187"/>
      <c r="P186" s="187"/>
      <c r="Q186" s="189"/>
      <c r="R186" s="189"/>
      <c r="S186" s="187"/>
    </row>
    <row r="187" spans="1:19" s="184" customFormat="1" ht="18" customHeight="1">
      <c r="A187" s="186"/>
      <c r="D187" s="187"/>
      <c r="H187" s="188"/>
      <c r="L187" s="187"/>
      <c r="M187" s="187"/>
      <c r="N187" s="187"/>
      <c r="O187" s="187"/>
      <c r="P187" s="187"/>
      <c r="Q187" s="189"/>
      <c r="R187" s="189"/>
      <c r="S187" s="187"/>
    </row>
    <row r="188" spans="1:19" s="184" customFormat="1" ht="18" customHeight="1">
      <c r="A188" s="186"/>
      <c r="D188" s="187"/>
      <c r="H188" s="188"/>
      <c r="L188" s="187"/>
      <c r="M188" s="187"/>
      <c r="N188" s="187"/>
      <c r="O188" s="187"/>
      <c r="P188" s="187"/>
      <c r="Q188" s="189"/>
      <c r="R188" s="189"/>
      <c r="S188" s="187"/>
    </row>
    <row r="189" spans="1:19" s="184" customFormat="1" ht="18" customHeight="1">
      <c r="A189" s="186"/>
      <c r="D189" s="187"/>
      <c r="H189" s="188"/>
      <c r="L189" s="187"/>
      <c r="M189" s="187"/>
      <c r="N189" s="187"/>
      <c r="O189" s="187"/>
      <c r="P189" s="187"/>
      <c r="Q189" s="189"/>
      <c r="R189" s="189"/>
      <c r="S189" s="187"/>
    </row>
    <row r="190" spans="1:19" s="184" customFormat="1" ht="18" customHeight="1">
      <c r="A190" s="186"/>
      <c r="D190" s="187"/>
      <c r="H190" s="188"/>
      <c r="L190" s="187"/>
      <c r="M190" s="187"/>
      <c r="N190" s="187"/>
      <c r="O190" s="187"/>
      <c r="P190" s="187"/>
      <c r="Q190" s="189"/>
      <c r="R190" s="189"/>
      <c r="S190" s="187"/>
    </row>
    <row r="191" spans="1:19" s="184" customFormat="1" ht="18" customHeight="1">
      <c r="A191" s="186"/>
      <c r="D191" s="187"/>
      <c r="H191" s="188"/>
      <c r="L191" s="187"/>
      <c r="M191" s="187"/>
      <c r="N191" s="187"/>
      <c r="O191" s="187"/>
      <c r="P191" s="187"/>
      <c r="Q191" s="189"/>
      <c r="R191" s="189"/>
      <c r="S191" s="187"/>
    </row>
    <row r="192" spans="1:19" s="184" customFormat="1" ht="18" customHeight="1">
      <c r="A192" s="186"/>
      <c r="D192" s="187"/>
      <c r="H192" s="188"/>
      <c r="L192" s="187"/>
      <c r="M192" s="187"/>
      <c r="N192" s="187"/>
      <c r="O192" s="187"/>
      <c r="P192" s="187"/>
      <c r="Q192" s="189"/>
      <c r="R192" s="189"/>
      <c r="S192" s="187"/>
    </row>
    <row r="193" spans="1:19" s="184" customFormat="1" ht="18" customHeight="1">
      <c r="A193" s="186"/>
      <c r="D193" s="187"/>
      <c r="H193" s="188"/>
      <c r="L193" s="187"/>
      <c r="M193" s="187"/>
      <c r="N193" s="187"/>
      <c r="O193" s="187"/>
      <c r="P193" s="187"/>
      <c r="Q193" s="189"/>
      <c r="R193" s="189"/>
      <c r="S193" s="187"/>
    </row>
    <row r="194" spans="1:19" s="184" customFormat="1" ht="18" customHeight="1">
      <c r="A194" s="186"/>
      <c r="D194" s="187"/>
      <c r="H194" s="188"/>
      <c r="L194" s="187"/>
      <c r="M194" s="187"/>
      <c r="N194" s="187"/>
      <c r="O194" s="187"/>
      <c r="P194" s="187"/>
      <c r="Q194" s="189"/>
      <c r="R194" s="189"/>
      <c r="S194" s="187"/>
    </row>
    <row r="195" spans="1:19" s="184" customFormat="1" ht="18" customHeight="1">
      <c r="A195" s="186"/>
      <c r="D195" s="187"/>
      <c r="H195" s="188"/>
      <c r="L195" s="187"/>
      <c r="M195" s="187"/>
      <c r="N195" s="187"/>
      <c r="O195" s="187"/>
      <c r="P195" s="187"/>
      <c r="Q195" s="189"/>
      <c r="R195" s="189"/>
      <c r="S195" s="187"/>
    </row>
    <row r="196" spans="1:19" s="184" customFormat="1" ht="18" customHeight="1">
      <c r="A196" s="186"/>
      <c r="D196" s="187"/>
      <c r="H196" s="188"/>
      <c r="L196" s="187"/>
      <c r="M196" s="187"/>
      <c r="N196" s="187"/>
      <c r="O196" s="187"/>
      <c r="P196" s="187"/>
      <c r="Q196" s="189"/>
      <c r="R196" s="189"/>
      <c r="S196" s="187"/>
    </row>
    <row r="197" spans="1:19" s="184" customFormat="1" ht="18" customHeight="1">
      <c r="A197" s="186"/>
      <c r="D197" s="187"/>
      <c r="H197" s="188"/>
      <c r="L197" s="187"/>
      <c r="M197" s="187"/>
      <c r="N197" s="187"/>
      <c r="O197" s="187"/>
      <c r="P197" s="187"/>
      <c r="Q197" s="189"/>
      <c r="R197" s="189"/>
      <c r="S197" s="187"/>
    </row>
    <row r="198" spans="1:19" s="184" customFormat="1" ht="18" customHeight="1">
      <c r="A198" s="186"/>
      <c r="D198" s="187"/>
      <c r="H198" s="188"/>
      <c r="L198" s="187"/>
      <c r="M198" s="187"/>
      <c r="N198" s="187"/>
      <c r="O198" s="187"/>
      <c r="P198" s="187"/>
      <c r="Q198" s="189"/>
      <c r="R198" s="189"/>
      <c r="S198" s="187"/>
    </row>
    <row r="199" spans="1:19" s="184" customFormat="1" ht="18" customHeight="1">
      <c r="A199" s="186"/>
      <c r="D199" s="187"/>
      <c r="H199" s="188"/>
      <c r="L199" s="187"/>
      <c r="M199" s="187"/>
      <c r="N199" s="187"/>
      <c r="O199" s="187"/>
      <c r="P199" s="187"/>
      <c r="Q199" s="189"/>
      <c r="R199" s="189"/>
      <c r="S199" s="187"/>
    </row>
    <row r="200" spans="1:19" s="184" customFormat="1" ht="18" customHeight="1">
      <c r="A200" s="186"/>
      <c r="D200" s="187"/>
      <c r="H200" s="188"/>
      <c r="L200" s="187"/>
      <c r="M200" s="187"/>
      <c r="N200" s="187"/>
      <c r="O200" s="187"/>
      <c r="P200" s="187"/>
      <c r="Q200" s="189"/>
      <c r="R200" s="189"/>
      <c r="S200" s="187"/>
    </row>
    <row r="201" spans="1:19" s="184" customFormat="1" ht="18" customHeight="1">
      <c r="A201" s="186"/>
      <c r="D201" s="187"/>
      <c r="H201" s="188"/>
      <c r="L201" s="187"/>
      <c r="M201" s="187"/>
      <c r="N201" s="187"/>
      <c r="O201" s="187"/>
      <c r="P201" s="187"/>
      <c r="Q201" s="189"/>
      <c r="R201" s="189"/>
      <c r="S201" s="187"/>
    </row>
    <row r="202" spans="1:19" s="184" customFormat="1" ht="18" customHeight="1">
      <c r="A202" s="186"/>
      <c r="D202" s="187"/>
      <c r="H202" s="188"/>
      <c r="L202" s="187"/>
      <c r="M202" s="187"/>
      <c r="N202" s="187"/>
      <c r="O202" s="187"/>
      <c r="P202" s="187"/>
      <c r="Q202" s="189"/>
      <c r="R202" s="189"/>
      <c r="S202" s="187"/>
    </row>
    <row r="203" spans="1:19" s="184" customFormat="1" ht="18" customHeight="1">
      <c r="A203" s="186"/>
      <c r="D203" s="187"/>
      <c r="H203" s="188"/>
      <c r="L203" s="187"/>
      <c r="M203" s="187"/>
      <c r="N203" s="187"/>
      <c r="O203" s="187"/>
      <c r="P203" s="187"/>
      <c r="Q203" s="189"/>
      <c r="R203" s="189"/>
      <c r="S203" s="187"/>
    </row>
    <row r="204" spans="1:19" s="184" customFormat="1" ht="18" customHeight="1">
      <c r="A204" s="186"/>
      <c r="D204" s="187"/>
      <c r="H204" s="188"/>
      <c r="L204" s="187"/>
      <c r="M204" s="187"/>
      <c r="N204" s="187"/>
      <c r="O204" s="187"/>
      <c r="P204" s="187"/>
      <c r="Q204" s="189"/>
      <c r="R204" s="189"/>
      <c r="S204" s="187"/>
    </row>
    <row r="205" spans="1:19" s="184" customFormat="1" ht="18" customHeight="1">
      <c r="A205" s="186"/>
      <c r="D205" s="187"/>
      <c r="H205" s="188"/>
      <c r="L205" s="187"/>
      <c r="M205" s="187"/>
      <c r="N205" s="187"/>
      <c r="O205" s="187"/>
      <c r="P205" s="187"/>
      <c r="Q205" s="189"/>
      <c r="R205" s="189"/>
      <c r="S205" s="187"/>
    </row>
    <row r="206" spans="1:19" s="184" customFormat="1" ht="18" customHeight="1">
      <c r="A206" s="186"/>
      <c r="D206" s="187"/>
      <c r="H206" s="188"/>
      <c r="L206" s="187"/>
      <c r="M206" s="187"/>
      <c r="N206" s="187"/>
      <c r="O206" s="187"/>
      <c r="P206" s="187"/>
      <c r="Q206" s="189"/>
      <c r="R206" s="189"/>
      <c r="S206" s="187"/>
    </row>
    <row r="207" spans="1:19" s="184" customFormat="1" ht="18" customHeight="1">
      <c r="A207" s="186"/>
      <c r="D207" s="187"/>
      <c r="H207" s="188"/>
      <c r="L207" s="187"/>
      <c r="M207" s="187"/>
      <c r="N207" s="187"/>
      <c r="O207" s="187"/>
      <c r="P207" s="187"/>
      <c r="Q207" s="189"/>
      <c r="R207" s="189"/>
      <c r="S207" s="187"/>
    </row>
    <row r="208" spans="1:19" s="184" customFormat="1" ht="18" customHeight="1">
      <c r="A208" s="186"/>
      <c r="D208" s="187"/>
      <c r="H208" s="188"/>
      <c r="L208" s="187"/>
      <c r="M208" s="187"/>
      <c r="N208" s="187"/>
      <c r="O208" s="187"/>
      <c r="P208" s="187"/>
      <c r="Q208" s="189"/>
      <c r="R208" s="189"/>
      <c r="S208" s="187"/>
    </row>
    <row r="209" spans="1:19" s="184" customFormat="1" ht="18" customHeight="1">
      <c r="A209" s="186"/>
      <c r="D209" s="187"/>
      <c r="H209" s="188"/>
      <c r="L209" s="187"/>
      <c r="M209" s="187"/>
      <c r="N209" s="187"/>
      <c r="O209" s="187"/>
      <c r="P209" s="187"/>
      <c r="Q209" s="189"/>
      <c r="R209" s="189"/>
      <c r="S209" s="187"/>
    </row>
    <row r="210" spans="1:19" s="184" customFormat="1" ht="18" customHeight="1">
      <c r="A210" s="186"/>
      <c r="D210" s="187"/>
      <c r="H210" s="188"/>
      <c r="L210" s="187"/>
      <c r="M210" s="187"/>
      <c r="N210" s="187"/>
      <c r="O210" s="187"/>
      <c r="P210" s="187"/>
      <c r="Q210" s="189"/>
      <c r="R210" s="189"/>
      <c r="S210" s="187"/>
    </row>
    <row r="211" spans="1:19" s="184" customFormat="1" ht="18" customHeight="1">
      <c r="A211" s="186"/>
      <c r="D211" s="187"/>
      <c r="H211" s="188"/>
      <c r="L211" s="187"/>
      <c r="M211" s="187"/>
      <c r="N211" s="187"/>
      <c r="O211" s="187"/>
      <c r="P211" s="187"/>
      <c r="Q211" s="189"/>
      <c r="R211" s="189"/>
      <c r="S211" s="187"/>
    </row>
    <row r="212" spans="1:19" s="184" customFormat="1" ht="18" customHeight="1">
      <c r="A212" s="186"/>
      <c r="D212" s="187"/>
      <c r="H212" s="188"/>
      <c r="L212" s="187"/>
      <c r="M212" s="187"/>
      <c r="N212" s="187"/>
      <c r="O212" s="187"/>
      <c r="P212" s="187"/>
      <c r="Q212" s="189"/>
      <c r="R212" s="189"/>
      <c r="S212" s="187"/>
    </row>
    <row r="213" spans="1:19" s="184" customFormat="1" ht="18" customHeight="1">
      <c r="A213" s="186"/>
      <c r="D213" s="187"/>
      <c r="H213" s="188"/>
      <c r="L213" s="187"/>
      <c r="M213" s="187"/>
      <c r="N213" s="187"/>
      <c r="O213" s="187"/>
      <c r="P213" s="187"/>
      <c r="Q213" s="189"/>
      <c r="R213" s="189"/>
      <c r="S213" s="187"/>
    </row>
    <row r="214" spans="1:19" s="184" customFormat="1" ht="18" customHeight="1">
      <c r="A214" s="186"/>
      <c r="D214" s="187"/>
      <c r="H214" s="188"/>
      <c r="L214" s="187"/>
      <c r="M214" s="187"/>
      <c r="N214" s="187"/>
      <c r="O214" s="187"/>
      <c r="P214" s="187"/>
      <c r="Q214" s="189"/>
      <c r="R214" s="189"/>
      <c r="S214" s="187"/>
    </row>
    <row r="215" spans="1:19" s="184" customFormat="1" ht="18" customHeight="1">
      <c r="A215" s="186"/>
      <c r="D215" s="187"/>
      <c r="H215" s="188"/>
      <c r="L215" s="187"/>
      <c r="M215" s="187"/>
      <c r="N215" s="187"/>
      <c r="O215" s="187"/>
      <c r="P215" s="187"/>
      <c r="Q215" s="189"/>
      <c r="R215" s="189"/>
      <c r="S215" s="187"/>
    </row>
    <row r="216" spans="1:19" s="184" customFormat="1" ht="18" customHeight="1">
      <c r="A216" s="186"/>
      <c r="D216" s="187"/>
      <c r="H216" s="188"/>
      <c r="L216" s="187"/>
      <c r="M216" s="187"/>
      <c r="N216" s="187"/>
      <c r="O216" s="187"/>
      <c r="P216" s="187"/>
      <c r="Q216" s="189"/>
      <c r="R216" s="189"/>
      <c r="S216" s="187"/>
    </row>
    <row r="217" spans="1:19" s="184" customFormat="1" ht="18" customHeight="1">
      <c r="A217" s="186"/>
      <c r="D217" s="187"/>
      <c r="H217" s="188"/>
      <c r="L217" s="187"/>
      <c r="M217" s="187"/>
      <c r="N217" s="187"/>
      <c r="O217" s="187"/>
      <c r="P217" s="187"/>
      <c r="Q217" s="189"/>
      <c r="R217" s="189"/>
      <c r="S217" s="187"/>
    </row>
  </sheetData>
  <mergeCells count="256">
    <mergeCell ref="C10:D10"/>
    <mergeCell ref="N10:P10"/>
    <mergeCell ref="B156:D156"/>
    <mergeCell ref="B158:C158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48:A49"/>
    <mergeCell ref="A50:A51"/>
    <mergeCell ref="A52:A54"/>
    <mergeCell ref="A55:A57"/>
    <mergeCell ref="A58:A60"/>
    <mergeCell ref="A62:A64"/>
    <mergeCell ref="A66:A68"/>
    <mergeCell ref="A73:A75"/>
    <mergeCell ref="A77:A79"/>
    <mergeCell ref="A82:A83"/>
    <mergeCell ref="A84:A87"/>
    <mergeCell ref="A88:A93"/>
    <mergeCell ref="A94:A98"/>
    <mergeCell ref="A99:A100"/>
    <mergeCell ref="A101:A102"/>
    <mergeCell ref="A103:A109"/>
    <mergeCell ref="A110:A114"/>
    <mergeCell ref="A124:A125"/>
    <mergeCell ref="B27:B28"/>
    <mergeCell ref="B29:B30"/>
    <mergeCell ref="B31:B32"/>
    <mergeCell ref="B33:B34"/>
    <mergeCell ref="B35:B36"/>
    <mergeCell ref="B37:B38"/>
    <mergeCell ref="B39:B40"/>
    <mergeCell ref="B41:B42"/>
    <mergeCell ref="B43:B44"/>
    <mergeCell ref="B45:B46"/>
    <mergeCell ref="B48:B49"/>
    <mergeCell ref="B50:B51"/>
    <mergeCell ref="B52:B54"/>
    <mergeCell ref="B55:B57"/>
    <mergeCell ref="B58:B60"/>
    <mergeCell ref="B62:B64"/>
    <mergeCell ref="B66:B68"/>
    <mergeCell ref="B73:B75"/>
    <mergeCell ref="B77:B79"/>
    <mergeCell ref="B82:B83"/>
    <mergeCell ref="B84:B87"/>
    <mergeCell ref="B88:B93"/>
    <mergeCell ref="B94:B98"/>
    <mergeCell ref="B99:B100"/>
    <mergeCell ref="B101:B102"/>
    <mergeCell ref="B103:B109"/>
    <mergeCell ref="B110:B114"/>
    <mergeCell ref="B124:B125"/>
    <mergeCell ref="J27:J28"/>
    <mergeCell ref="J29:J30"/>
    <mergeCell ref="J31:J32"/>
    <mergeCell ref="J33:J34"/>
    <mergeCell ref="J35:J36"/>
    <mergeCell ref="J37:J38"/>
    <mergeCell ref="J39:J40"/>
    <mergeCell ref="J41:J42"/>
    <mergeCell ref="J43:J44"/>
    <mergeCell ref="J45:J46"/>
    <mergeCell ref="J48:J49"/>
    <mergeCell ref="J50:J51"/>
    <mergeCell ref="J52:J54"/>
    <mergeCell ref="J55:J57"/>
    <mergeCell ref="J58:J60"/>
    <mergeCell ref="J62:J64"/>
    <mergeCell ref="J66:J68"/>
    <mergeCell ref="J73:J75"/>
    <mergeCell ref="J77:J79"/>
    <mergeCell ref="J82:J83"/>
    <mergeCell ref="J84:J87"/>
    <mergeCell ref="J88:J93"/>
    <mergeCell ref="J94:J98"/>
    <mergeCell ref="J99:J100"/>
    <mergeCell ref="J101:J102"/>
    <mergeCell ref="J103:J109"/>
    <mergeCell ref="J110:J114"/>
    <mergeCell ref="J124:J125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8:K49"/>
    <mergeCell ref="K50:K51"/>
    <mergeCell ref="K52:K54"/>
    <mergeCell ref="K55:K57"/>
    <mergeCell ref="K58:K60"/>
    <mergeCell ref="K62:K64"/>
    <mergeCell ref="K66:K68"/>
    <mergeCell ref="K73:K75"/>
    <mergeCell ref="K77:K79"/>
    <mergeCell ref="K82:K83"/>
    <mergeCell ref="K84:K87"/>
    <mergeCell ref="K88:K93"/>
    <mergeCell ref="K94:K98"/>
    <mergeCell ref="K99:K100"/>
    <mergeCell ref="K101:K102"/>
    <mergeCell ref="K103:K109"/>
    <mergeCell ref="K110:K114"/>
    <mergeCell ref="K124:K125"/>
    <mergeCell ref="L27:L28"/>
    <mergeCell ref="L29:L30"/>
    <mergeCell ref="L31:L32"/>
    <mergeCell ref="L33:L34"/>
    <mergeCell ref="L35:L36"/>
    <mergeCell ref="L37:L38"/>
    <mergeCell ref="L39:L40"/>
    <mergeCell ref="L41:L42"/>
    <mergeCell ref="L43:L44"/>
    <mergeCell ref="L45:L46"/>
    <mergeCell ref="L48:L49"/>
    <mergeCell ref="L50:L51"/>
    <mergeCell ref="L52:L54"/>
    <mergeCell ref="L55:L57"/>
    <mergeCell ref="L58:L60"/>
    <mergeCell ref="L62:L64"/>
    <mergeCell ref="L66:L68"/>
    <mergeCell ref="L73:L75"/>
    <mergeCell ref="L77:L79"/>
    <mergeCell ref="L82:L83"/>
    <mergeCell ref="L84:L87"/>
    <mergeCell ref="L88:L93"/>
    <mergeCell ref="L94:L98"/>
    <mergeCell ref="L99:L100"/>
    <mergeCell ref="L101:L102"/>
    <mergeCell ref="L103:L109"/>
    <mergeCell ref="L110:L114"/>
    <mergeCell ref="L124:L125"/>
    <mergeCell ref="M27:M28"/>
    <mergeCell ref="M29:M30"/>
    <mergeCell ref="M31:M32"/>
    <mergeCell ref="M33:M34"/>
    <mergeCell ref="M35:M36"/>
    <mergeCell ref="M37:M38"/>
    <mergeCell ref="M39:M40"/>
    <mergeCell ref="M41:M42"/>
    <mergeCell ref="M43:M44"/>
    <mergeCell ref="M45:M46"/>
    <mergeCell ref="M48:M49"/>
    <mergeCell ref="M50:M51"/>
    <mergeCell ref="M52:M54"/>
    <mergeCell ref="M55:M57"/>
    <mergeCell ref="M58:M60"/>
    <mergeCell ref="M62:M64"/>
    <mergeCell ref="M66:M68"/>
    <mergeCell ref="M73:M75"/>
    <mergeCell ref="M77:M79"/>
    <mergeCell ref="M82:M83"/>
    <mergeCell ref="M84:M87"/>
    <mergeCell ref="M88:M93"/>
    <mergeCell ref="M94:M98"/>
    <mergeCell ref="M99:M100"/>
    <mergeCell ref="M101:M102"/>
    <mergeCell ref="M103:M109"/>
    <mergeCell ref="M110:M114"/>
    <mergeCell ref="M124:M125"/>
    <mergeCell ref="N27:N28"/>
    <mergeCell ref="N29:N30"/>
    <mergeCell ref="N31:N32"/>
    <mergeCell ref="N33:N34"/>
    <mergeCell ref="N35:N36"/>
    <mergeCell ref="N37:N38"/>
    <mergeCell ref="N39:N40"/>
    <mergeCell ref="N41:N42"/>
    <mergeCell ref="N43:N44"/>
    <mergeCell ref="N45:N46"/>
    <mergeCell ref="N48:N49"/>
    <mergeCell ref="N50:N51"/>
    <mergeCell ref="N52:N54"/>
    <mergeCell ref="N55:N57"/>
    <mergeCell ref="N58:N60"/>
    <mergeCell ref="N62:N64"/>
    <mergeCell ref="N66:N68"/>
    <mergeCell ref="N73:N75"/>
    <mergeCell ref="N77:N79"/>
    <mergeCell ref="N82:N83"/>
    <mergeCell ref="N84:N87"/>
    <mergeCell ref="N88:N93"/>
    <mergeCell ref="N94:N98"/>
    <mergeCell ref="N99:N100"/>
    <mergeCell ref="N101:N102"/>
    <mergeCell ref="N103:N109"/>
    <mergeCell ref="N110:N114"/>
    <mergeCell ref="N124:N125"/>
    <mergeCell ref="O27:O28"/>
    <mergeCell ref="O29:O30"/>
    <mergeCell ref="O31:O32"/>
    <mergeCell ref="O33:O34"/>
    <mergeCell ref="O35:O36"/>
    <mergeCell ref="O37:O38"/>
    <mergeCell ref="O39:O40"/>
    <mergeCell ref="O41:O42"/>
    <mergeCell ref="O43:O44"/>
    <mergeCell ref="O45:O46"/>
    <mergeCell ref="O48:O49"/>
    <mergeCell ref="O50:O51"/>
    <mergeCell ref="O52:O54"/>
    <mergeCell ref="O55:O57"/>
    <mergeCell ref="O58:O60"/>
    <mergeCell ref="O62:O64"/>
    <mergeCell ref="O66:O68"/>
    <mergeCell ref="O73:O75"/>
    <mergeCell ref="O77:O79"/>
    <mergeCell ref="O82:O83"/>
    <mergeCell ref="O84:O87"/>
    <mergeCell ref="O88:O93"/>
    <mergeCell ref="O94:O98"/>
    <mergeCell ref="O99:O100"/>
    <mergeCell ref="O101:O102"/>
    <mergeCell ref="O103:O109"/>
    <mergeCell ref="O110:O114"/>
    <mergeCell ref="O124:O125"/>
    <mergeCell ref="P27:P28"/>
    <mergeCell ref="P29:P30"/>
    <mergeCell ref="P31:P32"/>
    <mergeCell ref="P33:P34"/>
    <mergeCell ref="P35:P36"/>
    <mergeCell ref="P37:P38"/>
    <mergeCell ref="P39:P40"/>
    <mergeCell ref="P41:P42"/>
    <mergeCell ref="P43:P44"/>
    <mergeCell ref="P45:P46"/>
    <mergeCell ref="P48:P49"/>
    <mergeCell ref="P50:P51"/>
    <mergeCell ref="P52:P54"/>
    <mergeCell ref="P55:P57"/>
    <mergeCell ref="P58:P60"/>
    <mergeCell ref="P62:P64"/>
    <mergeCell ref="P66:P68"/>
    <mergeCell ref="P73:P75"/>
    <mergeCell ref="P124:P125"/>
    <mergeCell ref="P77:P79"/>
    <mergeCell ref="P82:P83"/>
    <mergeCell ref="P84:P87"/>
    <mergeCell ref="P88:P93"/>
    <mergeCell ref="P94:P98"/>
    <mergeCell ref="P99:P100"/>
    <mergeCell ref="P101:P102"/>
    <mergeCell ref="P103:P109"/>
    <mergeCell ref="P110:P114"/>
  </mergeCells>
  <hyperlinks>
    <hyperlink ref="T28" r:id="rId1" xr:uid="{00000000-0004-0000-0000-000000000000}"/>
    <hyperlink ref="T30" r:id="rId2" xr:uid="{00000000-0004-0000-0000-000001000000}"/>
    <hyperlink ref="T32" r:id="rId3" xr:uid="{00000000-0004-0000-0000-000002000000}"/>
    <hyperlink ref="T34" r:id="rId4" xr:uid="{00000000-0004-0000-0000-000003000000}"/>
    <hyperlink ref="T36" r:id="rId5" xr:uid="{00000000-0004-0000-0000-000004000000}"/>
    <hyperlink ref="T38" r:id="rId6" xr:uid="{00000000-0004-0000-0000-000005000000}"/>
    <hyperlink ref="T40" r:id="rId7" xr:uid="{00000000-0004-0000-0000-000006000000}"/>
    <hyperlink ref="T42" r:id="rId8" xr:uid="{00000000-0004-0000-0000-000007000000}"/>
    <hyperlink ref="T44" r:id="rId9" xr:uid="{00000000-0004-0000-0000-000008000000}"/>
    <hyperlink ref="T46" r:id="rId10" xr:uid="{00000000-0004-0000-0000-000009000000}"/>
    <hyperlink ref="T136" r:id="rId11" xr:uid="{00000000-0004-0000-0000-00000A000000}"/>
    <hyperlink ref="T137" r:id="rId12" xr:uid="{00000000-0004-0000-0000-00000B000000}"/>
    <hyperlink ref="T138" r:id="rId13" xr:uid="{00000000-0004-0000-0000-00000C000000}"/>
    <hyperlink ref="T139" r:id="rId14" xr:uid="{00000000-0004-0000-0000-00000D000000}"/>
    <hyperlink ref="T140" r:id="rId15" xr:uid="{00000000-0004-0000-0000-00000E000000}"/>
    <hyperlink ref="T141" r:id="rId16" xr:uid="{00000000-0004-0000-0000-00000F000000}"/>
    <hyperlink ref="T142" r:id="rId17" xr:uid="{00000000-0004-0000-0000-000010000000}"/>
    <hyperlink ref="T143" r:id="rId18" xr:uid="{00000000-0004-0000-0000-000011000000}"/>
    <hyperlink ref="T144" r:id="rId19" xr:uid="{00000000-0004-0000-0000-000012000000}"/>
  </hyperlinks>
  <pageMargins left="0.75" right="0.75" top="1" bottom="1" header="0.51180555555555596" footer="0.51180555555555596"/>
  <drawing r:id="rId2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FB205"/>
  <sheetViews>
    <sheetView topLeftCell="A130" workbookViewId="0">
      <selection activeCell="B2" sqref="B2:U2"/>
    </sheetView>
  </sheetViews>
  <sheetFormatPr defaultColWidth="11.28515625" defaultRowHeight="18" customHeight="1"/>
  <cols>
    <col min="1" max="1" width="7.5703125" style="119" customWidth="1"/>
    <col min="2" max="2" width="22.28515625" style="3" bestFit="1" customWidth="1"/>
    <col min="3" max="3" width="21.5703125" style="3" bestFit="1" customWidth="1"/>
    <col min="4" max="4" width="27.42578125" style="3" customWidth="1"/>
    <col min="5" max="5" width="13.42578125" style="3" customWidth="1"/>
    <col min="6" max="8" width="4.42578125" style="3" customWidth="1"/>
    <col min="9" max="9" width="29" style="5" customWidth="1"/>
    <col min="10" max="10" width="9.42578125" style="3" customWidth="1"/>
    <col min="11" max="12" width="11.42578125" style="3" customWidth="1"/>
    <col min="13" max="13" width="6.7109375" style="3" customWidth="1"/>
    <col min="14" max="14" width="8" style="6" customWidth="1"/>
    <col min="15" max="15" width="10.42578125" style="6" customWidth="1"/>
    <col min="16" max="16" width="13" style="3" customWidth="1"/>
    <col min="17" max="17" width="13" style="7" customWidth="1"/>
    <col min="18" max="20" width="13" style="8" customWidth="1"/>
    <col min="21" max="21" width="16.140625" style="9" customWidth="1"/>
    <col min="22" max="16382" width="11.28515625" style="3"/>
  </cols>
  <sheetData>
    <row r="1" spans="1:22" s="2" customFormat="1" ht="18" customHeight="1">
      <c r="A1" s="46"/>
      <c r="B1" s="162" t="s">
        <v>412</v>
      </c>
      <c r="C1" s="354" t="s">
        <v>413</v>
      </c>
      <c r="D1" s="355"/>
      <c r="E1" s="356"/>
      <c r="F1" s="10"/>
      <c r="G1" s="10"/>
      <c r="H1" s="10"/>
      <c r="I1" s="10"/>
      <c r="J1" s="10" t="s">
        <v>414</v>
      </c>
      <c r="K1" s="151" t="s">
        <v>13</v>
      </c>
      <c r="L1" s="151" t="s">
        <v>14</v>
      </c>
      <c r="M1" s="11" t="s">
        <v>415</v>
      </c>
      <c r="N1" s="31" t="s">
        <v>17</v>
      </c>
      <c r="O1" s="31" t="s">
        <v>18</v>
      </c>
      <c r="P1" s="46"/>
      <c r="Q1" s="47"/>
      <c r="R1" s="48"/>
      <c r="S1" s="48"/>
      <c r="T1" s="48"/>
      <c r="U1" s="46"/>
      <c r="V1" s="49" t="s">
        <v>416</v>
      </c>
    </row>
    <row r="2" spans="1:22" s="2" customFormat="1" ht="24.75" customHeight="1">
      <c r="A2" s="46"/>
      <c r="B2" s="163" t="s">
        <v>21</v>
      </c>
      <c r="C2" s="13" t="s">
        <v>417</v>
      </c>
      <c r="D2" s="14" t="s">
        <v>809</v>
      </c>
      <c r="E2" s="13" t="s">
        <v>418</v>
      </c>
      <c r="F2" s="13" t="s">
        <v>419</v>
      </c>
      <c r="G2" s="13" t="s">
        <v>420</v>
      </c>
      <c r="H2" s="13" t="s">
        <v>421</v>
      </c>
      <c r="I2" s="13" t="s">
        <v>422</v>
      </c>
      <c r="J2" s="10" t="s">
        <v>28</v>
      </c>
      <c r="K2" s="152" t="s">
        <v>29</v>
      </c>
      <c r="L2" s="152" t="s">
        <v>30</v>
      </c>
      <c r="M2" s="12" t="s">
        <v>31</v>
      </c>
      <c r="N2" s="31" t="s">
        <v>17</v>
      </c>
      <c r="O2" s="31" t="s">
        <v>18</v>
      </c>
      <c r="P2" s="10" t="s">
        <v>762</v>
      </c>
      <c r="Q2" s="50" t="s">
        <v>805</v>
      </c>
      <c r="R2" s="51" t="s">
        <v>806</v>
      </c>
      <c r="S2" s="51" t="s">
        <v>807</v>
      </c>
      <c r="T2" s="51" t="s">
        <v>808</v>
      </c>
      <c r="U2" s="52" t="s">
        <v>424</v>
      </c>
    </row>
    <row r="3" spans="1:22" s="3" customFormat="1" ht="18" customHeight="1">
      <c r="A3" s="164">
        <v>1</v>
      </c>
      <c r="B3" s="15" t="s">
        <v>425</v>
      </c>
      <c r="C3" s="16" t="s">
        <v>39</v>
      </c>
      <c r="D3" s="17" t="s">
        <v>426</v>
      </c>
      <c r="E3" s="18" t="s">
        <v>40</v>
      </c>
      <c r="F3" s="165" t="s">
        <v>41</v>
      </c>
      <c r="G3" s="20" t="s">
        <v>427</v>
      </c>
      <c r="H3" s="21" t="s">
        <v>41</v>
      </c>
      <c r="I3" s="20" t="s">
        <v>428</v>
      </c>
      <c r="J3" s="33">
        <v>32</v>
      </c>
      <c r="K3" s="146">
        <f>L3-1.5</f>
        <v>19.350000000000001</v>
      </c>
      <c r="L3" s="146">
        <v>20.85</v>
      </c>
      <c r="M3" s="36">
        <v>1</v>
      </c>
      <c r="N3" s="37">
        <v>0.55000000000000004</v>
      </c>
      <c r="O3" s="53">
        <f t="shared" ref="O3:O66" si="0">N3*J3</f>
        <v>17.600000000000001</v>
      </c>
      <c r="P3" s="54">
        <v>6207999099</v>
      </c>
      <c r="Q3" s="55">
        <v>0.12</v>
      </c>
      <c r="R3" s="16" t="s">
        <v>429</v>
      </c>
      <c r="S3" s="16">
        <v>17.989999999999998</v>
      </c>
      <c r="T3" s="16">
        <v>0.42</v>
      </c>
      <c r="U3" s="56" t="s">
        <v>44</v>
      </c>
    </row>
    <row r="4" spans="1:22" s="3" customFormat="1" ht="18" customHeight="1">
      <c r="A4" s="164">
        <v>2</v>
      </c>
      <c r="B4" s="15" t="s">
        <v>430</v>
      </c>
      <c r="C4" s="16" t="s">
        <v>39</v>
      </c>
      <c r="D4" s="17" t="s">
        <v>426</v>
      </c>
      <c r="E4" s="22" t="s">
        <v>40</v>
      </c>
      <c r="F4" s="165" t="s">
        <v>41</v>
      </c>
      <c r="G4" s="20" t="s">
        <v>427</v>
      </c>
      <c r="H4" s="21" t="s">
        <v>41</v>
      </c>
      <c r="I4" s="20" t="s">
        <v>428</v>
      </c>
      <c r="J4" s="33">
        <v>32</v>
      </c>
      <c r="K4" s="146">
        <f t="shared" ref="K4:K18" si="1">L4-1.5</f>
        <v>19.350000000000001</v>
      </c>
      <c r="L4" s="146">
        <v>20.85</v>
      </c>
      <c r="M4" s="36">
        <v>1</v>
      </c>
      <c r="N4" s="37">
        <v>0.55000000000000004</v>
      </c>
      <c r="O4" s="53">
        <f t="shared" si="0"/>
        <v>17.600000000000001</v>
      </c>
      <c r="P4" s="54">
        <v>6207999099</v>
      </c>
      <c r="Q4" s="55">
        <v>0.12</v>
      </c>
      <c r="R4" s="16" t="s">
        <v>429</v>
      </c>
      <c r="S4" s="16">
        <v>17.989999999999998</v>
      </c>
      <c r="T4" s="16">
        <v>0.42</v>
      </c>
      <c r="U4" s="57" t="s">
        <v>44</v>
      </c>
    </row>
    <row r="5" spans="1:22" s="3" customFormat="1" ht="18" customHeight="1">
      <c r="A5" s="164">
        <v>3</v>
      </c>
      <c r="B5" s="15" t="s">
        <v>431</v>
      </c>
      <c r="C5" s="16" t="s">
        <v>39</v>
      </c>
      <c r="D5" s="17" t="s">
        <v>426</v>
      </c>
      <c r="E5" s="22" t="s">
        <v>40</v>
      </c>
      <c r="F5" s="165" t="s">
        <v>41</v>
      </c>
      <c r="G5" s="20" t="s">
        <v>427</v>
      </c>
      <c r="H5" s="21" t="s">
        <v>41</v>
      </c>
      <c r="I5" s="20" t="s">
        <v>428</v>
      </c>
      <c r="J5" s="33">
        <v>32</v>
      </c>
      <c r="K5" s="146">
        <f t="shared" si="1"/>
        <v>19.350000000000001</v>
      </c>
      <c r="L5" s="146">
        <v>20.85</v>
      </c>
      <c r="M5" s="36">
        <v>1</v>
      </c>
      <c r="N5" s="37">
        <v>0.55000000000000004</v>
      </c>
      <c r="O5" s="53">
        <f t="shared" si="0"/>
        <v>17.600000000000001</v>
      </c>
      <c r="P5" s="54">
        <v>6207999099</v>
      </c>
      <c r="Q5" s="55">
        <v>0.12</v>
      </c>
      <c r="R5" s="16" t="s">
        <v>429</v>
      </c>
      <c r="S5" s="16">
        <v>17.989999999999998</v>
      </c>
      <c r="T5" s="16">
        <v>0.42</v>
      </c>
      <c r="U5" s="57" t="s">
        <v>44</v>
      </c>
    </row>
    <row r="6" spans="1:22" s="3" customFormat="1" ht="18" customHeight="1">
      <c r="A6" s="164">
        <v>4</v>
      </c>
      <c r="B6" s="15" t="s">
        <v>432</v>
      </c>
      <c r="C6" s="16" t="s">
        <v>39</v>
      </c>
      <c r="D6" s="17" t="s">
        <v>426</v>
      </c>
      <c r="E6" s="22" t="s">
        <v>40</v>
      </c>
      <c r="F6" s="165" t="s">
        <v>41</v>
      </c>
      <c r="G6" s="20" t="s">
        <v>427</v>
      </c>
      <c r="H6" s="21" t="s">
        <v>41</v>
      </c>
      <c r="I6" s="20" t="s">
        <v>428</v>
      </c>
      <c r="J6" s="33">
        <v>32</v>
      </c>
      <c r="K6" s="146">
        <f t="shared" si="1"/>
        <v>19.350000000000001</v>
      </c>
      <c r="L6" s="146">
        <v>20.85</v>
      </c>
      <c r="M6" s="36">
        <v>1</v>
      </c>
      <c r="N6" s="37">
        <v>0.55000000000000004</v>
      </c>
      <c r="O6" s="53">
        <f t="shared" si="0"/>
        <v>17.600000000000001</v>
      </c>
      <c r="P6" s="54">
        <v>6207999099</v>
      </c>
      <c r="Q6" s="55">
        <v>0.12</v>
      </c>
      <c r="R6" s="16" t="s">
        <v>429</v>
      </c>
      <c r="S6" s="16">
        <v>17.989999999999998</v>
      </c>
      <c r="T6" s="16">
        <v>0.42</v>
      </c>
      <c r="U6" s="57" t="s">
        <v>44</v>
      </c>
    </row>
    <row r="7" spans="1:22" s="3" customFormat="1" ht="18" customHeight="1">
      <c r="A7" s="164">
        <v>5</v>
      </c>
      <c r="B7" s="15" t="s">
        <v>433</v>
      </c>
      <c r="C7" s="16" t="s">
        <v>39</v>
      </c>
      <c r="D7" s="17" t="s">
        <v>426</v>
      </c>
      <c r="E7" s="22" t="s">
        <v>40</v>
      </c>
      <c r="F7" s="165" t="s">
        <v>41</v>
      </c>
      <c r="G7" s="20" t="s">
        <v>427</v>
      </c>
      <c r="H7" s="21" t="s">
        <v>41</v>
      </c>
      <c r="I7" s="20" t="s">
        <v>428</v>
      </c>
      <c r="J7" s="33">
        <v>32</v>
      </c>
      <c r="K7" s="146">
        <f t="shared" si="1"/>
        <v>19.350000000000001</v>
      </c>
      <c r="L7" s="146">
        <v>20.85</v>
      </c>
      <c r="M7" s="36">
        <v>1</v>
      </c>
      <c r="N7" s="37">
        <v>0.55000000000000004</v>
      </c>
      <c r="O7" s="53">
        <f t="shared" si="0"/>
        <v>17.600000000000001</v>
      </c>
      <c r="P7" s="54">
        <v>6207999099</v>
      </c>
      <c r="Q7" s="55">
        <v>0.12</v>
      </c>
      <c r="R7" s="16" t="s">
        <v>429</v>
      </c>
      <c r="S7" s="16">
        <v>17.989999999999998</v>
      </c>
      <c r="T7" s="16">
        <v>0.42</v>
      </c>
      <c r="U7" s="57" t="s">
        <v>44</v>
      </c>
    </row>
    <row r="8" spans="1:22" s="3" customFormat="1" ht="18" customHeight="1">
      <c r="A8" s="164">
        <v>6</v>
      </c>
      <c r="B8" s="15" t="s">
        <v>434</v>
      </c>
      <c r="C8" s="16" t="s">
        <v>39</v>
      </c>
      <c r="D8" s="17" t="s">
        <v>426</v>
      </c>
      <c r="E8" s="22" t="s">
        <v>40</v>
      </c>
      <c r="F8" s="165" t="s">
        <v>41</v>
      </c>
      <c r="G8" s="20" t="s">
        <v>427</v>
      </c>
      <c r="H8" s="21" t="s">
        <v>41</v>
      </c>
      <c r="I8" s="20" t="s">
        <v>428</v>
      </c>
      <c r="J8" s="33">
        <v>32</v>
      </c>
      <c r="K8" s="146">
        <f t="shared" si="1"/>
        <v>19.350000000000001</v>
      </c>
      <c r="L8" s="146">
        <v>20.85</v>
      </c>
      <c r="M8" s="36">
        <v>1</v>
      </c>
      <c r="N8" s="37">
        <v>0.55000000000000004</v>
      </c>
      <c r="O8" s="53">
        <f t="shared" si="0"/>
        <v>17.600000000000001</v>
      </c>
      <c r="P8" s="54">
        <v>6207999099</v>
      </c>
      <c r="Q8" s="55">
        <v>0.12</v>
      </c>
      <c r="R8" s="16" t="s">
        <v>429</v>
      </c>
      <c r="S8" s="16">
        <v>17.989999999999998</v>
      </c>
      <c r="T8" s="16">
        <v>0.42</v>
      </c>
      <c r="U8" s="57" t="s">
        <v>44</v>
      </c>
    </row>
    <row r="9" spans="1:22" s="3" customFormat="1" ht="18" customHeight="1">
      <c r="A9" s="164">
        <v>7</v>
      </c>
      <c r="B9" s="15" t="s">
        <v>435</v>
      </c>
      <c r="C9" s="16" t="s">
        <v>39</v>
      </c>
      <c r="D9" s="17" t="s">
        <v>426</v>
      </c>
      <c r="E9" s="22" t="s">
        <v>40</v>
      </c>
      <c r="F9" s="165" t="s">
        <v>41</v>
      </c>
      <c r="G9" s="20" t="s">
        <v>427</v>
      </c>
      <c r="H9" s="21" t="s">
        <v>41</v>
      </c>
      <c r="I9" s="20" t="s">
        <v>428</v>
      </c>
      <c r="J9" s="33">
        <v>32</v>
      </c>
      <c r="K9" s="146">
        <f t="shared" si="1"/>
        <v>19.350000000000001</v>
      </c>
      <c r="L9" s="146">
        <v>20.85</v>
      </c>
      <c r="M9" s="36">
        <v>1</v>
      </c>
      <c r="N9" s="37">
        <v>0.55000000000000004</v>
      </c>
      <c r="O9" s="53">
        <f t="shared" si="0"/>
        <v>17.600000000000001</v>
      </c>
      <c r="P9" s="54">
        <v>6207999099</v>
      </c>
      <c r="Q9" s="55">
        <v>0.12</v>
      </c>
      <c r="R9" s="16" t="s">
        <v>429</v>
      </c>
      <c r="S9" s="16">
        <v>17.989999999999998</v>
      </c>
      <c r="T9" s="16">
        <v>0.42</v>
      </c>
      <c r="U9" s="57" t="s">
        <v>44</v>
      </c>
    </row>
    <row r="10" spans="1:22" s="3" customFormat="1" ht="18" customHeight="1">
      <c r="A10" s="164">
        <v>8</v>
      </c>
      <c r="B10" s="15" t="s">
        <v>436</v>
      </c>
      <c r="C10" s="16" t="s">
        <v>39</v>
      </c>
      <c r="D10" s="17" t="s">
        <v>426</v>
      </c>
      <c r="E10" s="22" t="s">
        <v>40</v>
      </c>
      <c r="F10" s="165" t="s">
        <v>41</v>
      </c>
      <c r="G10" s="20" t="s">
        <v>427</v>
      </c>
      <c r="H10" s="21" t="s">
        <v>41</v>
      </c>
      <c r="I10" s="20" t="s">
        <v>428</v>
      </c>
      <c r="J10" s="33">
        <v>32</v>
      </c>
      <c r="K10" s="146">
        <f t="shared" si="1"/>
        <v>19.350000000000001</v>
      </c>
      <c r="L10" s="146">
        <v>20.85</v>
      </c>
      <c r="M10" s="36">
        <v>1</v>
      </c>
      <c r="N10" s="37">
        <v>0.55000000000000004</v>
      </c>
      <c r="O10" s="53">
        <f t="shared" si="0"/>
        <v>17.600000000000001</v>
      </c>
      <c r="P10" s="54">
        <v>6207999099</v>
      </c>
      <c r="Q10" s="55">
        <v>0.12</v>
      </c>
      <c r="R10" s="16" t="s">
        <v>429</v>
      </c>
      <c r="S10" s="16">
        <v>17.989999999999998</v>
      </c>
      <c r="T10" s="16">
        <v>0.42</v>
      </c>
      <c r="U10" s="57" t="s">
        <v>44</v>
      </c>
    </row>
    <row r="11" spans="1:22" s="3" customFormat="1" ht="18" customHeight="1">
      <c r="A11" s="164">
        <v>9</v>
      </c>
      <c r="B11" s="15" t="s">
        <v>437</v>
      </c>
      <c r="C11" s="16" t="s">
        <v>39</v>
      </c>
      <c r="D11" s="17" t="s">
        <v>426</v>
      </c>
      <c r="E11" s="22" t="s">
        <v>40</v>
      </c>
      <c r="F11" s="165" t="s">
        <v>41</v>
      </c>
      <c r="G11" s="20" t="s">
        <v>427</v>
      </c>
      <c r="H11" s="21" t="s">
        <v>41</v>
      </c>
      <c r="I11" s="20" t="s">
        <v>428</v>
      </c>
      <c r="J11" s="33">
        <v>32</v>
      </c>
      <c r="K11" s="146">
        <f t="shared" si="1"/>
        <v>19.350000000000001</v>
      </c>
      <c r="L11" s="146">
        <v>20.85</v>
      </c>
      <c r="M11" s="36">
        <v>1</v>
      </c>
      <c r="N11" s="37">
        <v>0.55000000000000004</v>
      </c>
      <c r="O11" s="53">
        <f t="shared" si="0"/>
        <v>17.600000000000001</v>
      </c>
      <c r="P11" s="54">
        <v>6207999099</v>
      </c>
      <c r="Q11" s="55">
        <v>0.12</v>
      </c>
      <c r="R11" s="16" t="s">
        <v>429</v>
      </c>
      <c r="S11" s="16">
        <v>17.989999999999998</v>
      </c>
      <c r="T11" s="16">
        <v>0.42</v>
      </c>
      <c r="U11" s="57" t="s">
        <v>44</v>
      </c>
    </row>
    <row r="12" spans="1:22" s="3" customFormat="1" ht="18" customHeight="1">
      <c r="A12" s="164">
        <v>10</v>
      </c>
      <c r="B12" s="15" t="s">
        <v>438</v>
      </c>
      <c r="C12" s="16" t="s">
        <v>39</v>
      </c>
      <c r="D12" s="17" t="s">
        <v>426</v>
      </c>
      <c r="E12" s="22" t="s">
        <v>40</v>
      </c>
      <c r="F12" s="165" t="s">
        <v>41</v>
      </c>
      <c r="G12" s="20" t="s">
        <v>427</v>
      </c>
      <c r="H12" s="21" t="s">
        <v>41</v>
      </c>
      <c r="I12" s="20" t="s">
        <v>428</v>
      </c>
      <c r="J12" s="33">
        <v>32</v>
      </c>
      <c r="K12" s="146">
        <f t="shared" si="1"/>
        <v>19.350000000000001</v>
      </c>
      <c r="L12" s="146">
        <v>20.85</v>
      </c>
      <c r="M12" s="36">
        <v>1</v>
      </c>
      <c r="N12" s="37">
        <v>0.55000000000000004</v>
      </c>
      <c r="O12" s="53">
        <f t="shared" si="0"/>
        <v>17.600000000000001</v>
      </c>
      <c r="P12" s="54">
        <v>6207999099</v>
      </c>
      <c r="Q12" s="55">
        <v>0.12</v>
      </c>
      <c r="R12" s="16" t="s">
        <v>429</v>
      </c>
      <c r="S12" s="16">
        <v>17.989999999999998</v>
      </c>
      <c r="T12" s="16">
        <v>0.42</v>
      </c>
      <c r="U12" s="57" t="s">
        <v>44</v>
      </c>
    </row>
    <row r="13" spans="1:22" s="3" customFormat="1" ht="18" customHeight="1">
      <c r="A13" s="164">
        <v>11</v>
      </c>
      <c r="B13" s="15" t="s">
        <v>439</v>
      </c>
      <c r="C13" s="16" t="s">
        <v>39</v>
      </c>
      <c r="D13" s="17" t="s">
        <v>426</v>
      </c>
      <c r="E13" s="22" t="s">
        <v>40</v>
      </c>
      <c r="F13" s="165" t="s">
        <v>41</v>
      </c>
      <c r="G13" s="20" t="s">
        <v>427</v>
      </c>
      <c r="H13" s="21" t="s">
        <v>41</v>
      </c>
      <c r="I13" s="38" t="s">
        <v>428</v>
      </c>
      <c r="J13" s="33">
        <v>32</v>
      </c>
      <c r="K13" s="146">
        <f t="shared" si="1"/>
        <v>19.350000000000001</v>
      </c>
      <c r="L13" s="146">
        <v>20.85</v>
      </c>
      <c r="M13" s="15">
        <v>1</v>
      </c>
      <c r="N13" s="37">
        <v>0.55000000000000004</v>
      </c>
      <c r="O13" s="37">
        <f t="shared" si="0"/>
        <v>17.600000000000001</v>
      </c>
      <c r="P13" s="58">
        <v>6207999099</v>
      </c>
      <c r="Q13" s="55">
        <v>0.12</v>
      </c>
      <c r="R13" s="16" t="s">
        <v>429</v>
      </c>
      <c r="S13" s="16">
        <v>17.989999999999998</v>
      </c>
      <c r="T13" s="16">
        <v>0.42</v>
      </c>
      <c r="U13" s="57" t="s">
        <v>44</v>
      </c>
    </row>
    <row r="14" spans="1:22" s="3" customFormat="1" ht="18" customHeight="1">
      <c r="A14" s="164">
        <v>12</v>
      </c>
      <c r="B14" s="15" t="s">
        <v>440</v>
      </c>
      <c r="C14" s="16" t="s">
        <v>39</v>
      </c>
      <c r="D14" s="17" t="s">
        <v>426</v>
      </c>
      <c r="E14" s="22" t="s">
        <v>40</v>
      </c>
      <c r="F14" s="165" t="s">
        <v>41</v>
      </c>
      <c r="G14" s="20" t="s">
        <v>427</v>
      </c>
      <c r="H14" s="21" t="s">
        <v>41</v>
      </c>
      <c r="I14" s="38" t="s">
        <v>428</v>
      </c>
      <c r="J14" s="33">
        <v>32</v>
      </c>
      <c r="K14" s="146">
        <f t="shared" si="1"/>
        <v>19.350000000000001</v>
      </c>
      <c r="L14" s="146">
        <v>20.85</v>
      </c>
      <c r="M14" s="15">
        <v>1</v>
      </c>
      <c r="N14" s="37">
        <v>0.55000000000000004</v>
      </c>
      <c r="O14" s="37">
        <f t="shared" si="0"/>
        <v>17.600000000000001</v>
      </c>
      <c r="P14" s="58">
        <v>6207999099</v>
      </c>
      <c r="Q14" s="55">
        <v>0.12</v>
      </c>
      <c r="R14" s="16" t="s">
        <v>429</v>
      </c>
      <c r="S14" s="16">
        <v>17.989999999999998</v>
      </c>
      <c r="T14" s="16">
        <v>0.42</v>
      </c>
      <c r="U14" s="57" t="s">
        <v>44</v>
      </c>
    </row>
    <row r="15" spans="1:22" s="3" customFormat="1" ht="18" customHeight="1">
      <c r="A15" s="164">
        <v>13</v>
      </c>
      <c r="B15" s="15" t="s">
        <v>441</v>
      </c>
      <c r="C15" s="16" t="s">
        <v>39</v>
      </c>
      <c r="D15" s="17" t="s">
        <v>426</v>
      </c>
      <c r="E15" s="22" t="s">
        <v>40</v>
      </c>
      <c r="F15" s="165" t="s">
        <v>41</v>
      </c>
      <c r="G15" s="20" t="s">
        <v>427</v>
      </c>
      <c r="H15" s="21" t="s">
        <v>41</v>
      </c>
      <c r="I15" s="38" t="s">
        <v>428</v>
      </c>
      <c r="J15" s="33">
        <v>32</v>
      </c>
      <c r="K15" s="146">
        <f t="shared" si="1"/>
        <v>19.350000000000001</v>
      </c>
      <c r="L15" s="146">
        <v>20.85</v>
      </c>
      <c r="M15" s="15">
        <v>1</v>
      </c>
      <c r="N15" s="37">
        <v>0.55000000000000004</v>
      </c>
      <c r="O15" s="37">
        <f t="shared" si="0"/>
        <v>17.600000000000001</v>
      </c>
      <c r="P15" s="58">
        <v>6207999099</v>
      </c>
      <c r="Q15" s="55">
        <v>0.12</v>
      </c>
      <c r="R15" s="16" t="s">
        <v>429</v>
      </c>
      <c r="S15" s="16">
        <v>17.989999999999998</v>
      </c>
      <c r="T15" s="16">
        <v>0.42</v>
      </c>
      <c r="U15" s="57" t="s">
        <v>44</v>
      </c>
    </row>
    <row r="16" spans="1:22" s="3" customFormat="1" ht="18" customHeight="1">
      <c r="A16" s="164">
        <v>14</v>
      </c>
      <c r="B16" s="15" t="s">
        <v>442</v>
      </c>
      <c r="C16" s="16" t="s">
        <v>39</v>
      </c>
      <c r="D16" s="17" t="s">
        <v>426</v>
      </c>
      <c r="E16" s="22" t="s">
        <v>40</v>
      </c>
      <c r="F16" s="165" t="s">
        <v>41</v>
      </c>
      <c r="G16" s="20" t="s">
        <v>427</v>
      </c>
      <c r="H16" s="21" t="s">
        <v>41</v>
      </c>
      <c r="I16" s="38" t="s">
        <v>428</v>
      </c>
      <c r="J16" s="33">
        <v>32</v>
      </c>
      <c r="K16" s="146">
        <f t="shared" si="1"/>
        <v>19.350000000000001</v>
      </c>
      <c r="L16" s="146">
        <v>20.85</v>
      </c>
      <c r="M16" s="15">
        <v>1</v>
      </c>
      <c r="N16" s="37">
        <v>0.55000000000000004</v>
      </c>
      <c r="O16" s="37">
        <f t="shared" si="0"/>
        <v>17.600000000000001</v>
      </c>
      <c r="P16" s="58">
        <v>6207999099</v>
      </c>
      <c r="Q16" s="55">
        <v>0.12</v>
      </c>
      <c r="R16" s="16" t="s">
        <v>429</v>
      </c>
      <c r="S16" s="16">
        <v>17.989999999999998</v>
      </c>
      <c r="T16" s="16">
        <v>0.42</v>
      </c>
      <c r="U16" s="57" t="s">
        <v>44</v>
      </c>
    </row>
    <row r="17" spans="1:21" s="3" customFormat="1" ht="18.95" customHeight="1">
      <c r="A17" s="164">
        <v>15</v>
      </c>
      <c r="B17" s="15" t="s">
        <v>443</v>
      </c>
      <c r="C17" s="16" t="s">
        <v>39</v>
      </c>
      <c r="D17" s="17" t="s">
        <v>426</v>
      </c>
      <c r="E17" s="22" t="s">
        <v>40</v>
      </c>
      <c r="F17" s="165" t="s">
        <v>41</v>
      </c>
      <c r="G17" s="20" t="s">
        <v>427</v>
      </c>
      <c r="H17" s="21" t="s">
        <v>41</v>
      </c>
      <c r="I17" s="38" t="s">
        <v>428</v>
      </c>
      <c r="J17" s="33">
        <v>32</v>
      </c>
      <c r="K17" s="146">
        <f t="shared" si="1"/>
        <v>19.350000000000001</v>
      </c>
      <c r="L17" s="146">
        <v>20.85</v>
      </c>
      <c r="M17" s="15">
        <v>1</v>
      </c>
      <c r="N17" s="37">
        <v>0.55000000000000004</v>
      </c>
      <c r="O17" s="37">
        <f t="shared" si="0"/>
        <v>17.600000000000001</v>
      </c>
      <c r="P17" s="58">
        <v>6207999099</v>
      </c>
      <c r="Q17" s="55">
        <v>0.12</v>
      </c>
      <c r="R17" s="16" t="s">
        <v>429</v>
      </c>
      <c r="S17" s="16">
        <v>17.989999999999998</v>
      </c>
      <c r="T17" s="16">
        <v>0.42</v>
      </c>
      <c r="U17" s="57" t="s">
        <v>44</v>
      </c>
    </row>
    <row r="18" spans="1:21" s="3" customFormat="1" ht="18" customHeight="1">
      <c r="A18" s="164">
        <v>16</v>
      </c>
      <c r="B18" s="358" t="s">
        <v>444</v>
      </c>
      <c r="C18" s="24" t="s">
        <v>60</v>
      </c>
      <c r="D18" s="16" t="s">
        <v>445</v>
      </c>
      <c r="E18" s="22" t="s">
        <v>61</v>
      </c>
      <c r="F18" s="19" t="s">
        <v>41</v>
      </c>
      <c r="G18" s="20" t="s">
        <v>446</v>
      </c>
      <c r="H18" s="19" t="s">
        <v>41</v>
      </c>
      <c r="I18" s="38" t="s">
        <v>447</v>
      </c>
      <c r="J18" s="16">
        <v>48</v>
      </c>
      <c r="K18" s="346">
        <f t="shared" si="1"/>
        <v>12.7</v>
      </c>
      <c r="L18" s="346">
        <v>14.2</v>
      </c>
      <c r="M18" s="344">
        <v>1</v>
      </c>
      <c r="N18" s="37">
        <v>0.33</v>
      </c>
      <c r="O18" s="37">
        <f t="shared" si="0"/>
        <v>15.84</v>
      </c>
      <c r="P18" s="58">
        <v>8424200000</v>
      </c>
      <c r="Q18" s="55">
        <v>1.7000000000000001E-2</v>
      </c>
      <c r="R18" s="16" t="s">
        <v>448</v>
      </c>
      <c r="S18" s="16">
        <v>9.99</v>
      </c>
      <c r="T18" s="16">
        <v>0.34</v>
      </c>
      <c r="U18" s="59" t="s">
        <v>64</v>
      </c>
    </row>
    <row r="19" spans="1:21" s="3" customFormat="1" ht="18" customHeight="1">
      <c r="A19" s="164">
        <v>17</v>
      </c>
      <c r="B19" s="359"/>
      <c r="C19" s="24" t="s">
        <v>65</v>
      </c>
      <c r="D19" s="16" t="s">
        <v>449</v>
      </c>
      <c r="E19" s="22" t="s">
        <v>66</v>
      </c>
      <c r="F19" s="19" t="s">
        <v>41</v>
      </c>
      <c r="G19" s="20" t="s">
        <v>450</v>
      </c>
      <c r="H19" s="19" t="s">
        <v>41</v>
      </c>
      <c r="I19" s="41" t="s">
        <v>451</v>
      </c>
      <c r="J19" s="16">
        <v>30</v>
      </c>
      <c r="K19" s="347"/>
      <c r="L19" s="347"/>
      <c r="M19" s="345"/>
      <c r="N19" s="37">
        <v>0.22</v>
      </c>
      <c r="O19" s="37">
        <f t="shared" si="0"/>
        <v>6.6</v>
      </c>
      <c r="P19" s="58">
        <v>3923109090</v>
      </c>
      <c r="Q19" s="55">
        <v>6.5000000000000002E-2</v>
      </c>
      <c r="R19" s="16" t="s">
        <v>452</v>
      </c>
      <c r="S19" s="16">
        <v>6.45</v>
      </c>
      <c r="T19" s="16">
        <v>0.06</v>
      </c>
      <c r="U19" s="60" t="s">
        <v>69</v>
      </c>
    </row>
    <row r="20" spans="1:21" s="3" customFormat="1" ht="18" customHeight="1">
      <c r="A20" s="164">
        <v>18</v>
      </c>
      <c r="B20" s="358" t="s">
        <v>453</v>
      </c>
      <c r="C20" s="24" t="s">
        <v>60</v>
      </c>
      <c r="D20" s="16" t="s">
        <v>445</v>
      </c>
      <c r="E20" s="22" t="s">
        <v>61</v>
      </c>
      <c r="F20" s="19" t="s">
        <v>41</v>
      </c>
      <c r="G20" s="20" t="s">
        <v>446</v>
      </c>
      <c r="H20" s="19" t="s">
        <v>41</v>
      </c>
      <c r="I20" s="38" t="s">
        <v>447</v>
      </c>
      <c r="J20" s="16">
        <v>48</v>
      </c>
      <c r="K20" s="346">
        <f>L20-1.5</f>
        <v>12.7</v>
      </c>
      <c r="L20" s="346">
        <v>14.2</v>
      </c>
      <c r="M20" s="344">
        <v>1</v>
      </c>
      <c r="N20" s="37">
        <v>0.33</v>
      </c>
      <c r="O20" s="37">
        <f t="shared" si="0"/>
        <v>15.84</v>
      </c>
      <c r="P20" s="58">
        <v>8424200000</v>
      </c>
      <c r="Q20" s="55">
        <v>1.7000000000000001E-2</v>
      </c>
      <c r="R20" s="16" t="s">
        <v>448</v>
      </c>
      <c r="S20" s="16">
        <v>9.99</v>
      </c>
      <c r="T20" s="16">
        <v>0.34</v>
      </c>
      <c r="U20" s="60" t="s">
        <v>64</v>
      </c>
    </row>
    <row r="21" spans="1:21" s="3" customFormat="1" ht="18" customHeight="1">
      <c r="A21" s="164">
        <v>19</v>
      </c>
      <c r="B21" s="359"/>
      <c r="C21" s="24" t="s">
        <v>65</v>
      </c>
      <c r="D21" s="16" t="s">
        <v>449</v>
      </c>
      <c r="E21" s="22" t="s">
        <v>66</v>
      </c>
      <c r="F21" s="19" t="s">
        <v>41</v>
      </c>
      <c r="G21" s="20" t="s">
        <v>450</v>
      </c>
      <c r="H21" s="19" t="s">
        <v>41</v>
      </c>
      <c r="I21" s="41" t="s">
        <v>451</v>
      </c>
      <c r="J21" s="16">
        <v>30</v>
      </c>
      <c r="K21" s="347"/>
      <c r="L21" s="347"/>
      <c r="M21" s="345"/>
      <c r="N21" s="37">
        <v>0.22</v>
      </c>
      <c r="O21" s="37">
        <f t="shared" si="0"/>
        <v>6.6</v>
      </c>
      <c r="P21" s="58">
        <v>3923109090</v>
      </c>
      <c r="Q21" s="55">
        <v>6.5000000000000002E-2</v>
      </c>
      <c r="R21" s="16" t="s">
        <v>452</v>
      </c>
      <c r="S21" s="16">
        <v>6.45</v>
      </c>
      <c r="T21" s="16">
        <v>0.06</v>
      </c>
      <c r="U21" s="60" t="s">
        <v>69</v>
      </c>
    </row>
    <row r="22" spans="1:21" s="3" customFormat="1" ht="18" customHeight="1">
      <c r="A22" s="164">
        <v>20</v>
      </c>
      <c r="B22" s="358" t="s">
        <v>454</v>
      </c>
      <c r="C22" s="24" t="s">
        <v>60</v>
      </c>
      <c r="D22" s="16" t="s">
        <v>445</v>
      </c>
      <c r="E22" s="22" t="s">
        <v>61</v>
      </c>
      <c r="F22" s="19" t="s">
        <v>41</v>
      </c>
      <c r="G22" s="20" t="s">
        <v>446</v>
      </c>
      <c r="H22" s="19" t="s">
        <v>41</v>
      </c>
      <c r="I22" s="38" t="s">
        <v>447</v>
      </c>
      <c r="J22" s="16">
        <v>48</v>
      </c>
      <c r="K22" s="346">
        <f>L22-1.5</f>
        <v>12.7</v>
      </c>
      <c r="L22" s="346">
        <v>14.2</v>
      </c>
      <c r="M22" s="344">
        <v>1</v>
      </c>
      <c r="N22" s="37">
        <v>0.33</v>
      </c>
      <c r="O22" s="37">
        <f t="shared" si="0"/>
        <v>15.84</v>
      </c>
      <c r="P22" s="58">
        <v>8424200000</v>
      </c>
      <c r="Q22" s="55">
        <v>1.7000000000000001E-2</v>
      </c>
      <c r="R22" s="16" t="s">
        <v>448</v>
      </c>
      <c r="S22" s="16">
        <v>9.99</v>
      </c>
      <c r="T22" s="16">
        <v>0.34</v>
      </c>
      <c r="U22" s="60" t="s">
        <v>64</v>
      </c>
    </row>
    <row r="23" spans="1:21" s="3" customFormat="1" ht="18" customHeight="1">
      <c r="A23" s="164">
        <v>21</v>
      </c>
      <c r="B23" s="359"/>
      <c r="C23" s="24" t="s">
        <v>65</v>
      </c>
      <c r="D23" s="16" t="s">
        <v>449</v>
      </c>
      <c r="E23" s="22" t="s">
        <v>66</v>
      </c>
      <c r="F23" s="19" t="s">
        <v>41</v>
      </c>
      <c r="G23" s="20" t="s">
        <v>450</v>
      </c>
      <c r="H23" s="19" t="s">
        <v>41</v>
      </c>
      <c r="I23" s="41" t="s">
        <v>451</v>
      </c>
      <c r="J23" s="16">
        <v>30</v>
      </c>
      <c r="K23" s="347"/>
      <c r="L23" s="347"/>
      <c r="M23" s="345"/>
      <c r="N23" s="37">
        <v>0.22</v>
      </c>
      <c r="O23" s="37">
        <f t="shared" si="0"/>
        <v>6.6</v>
      </c>
      <c r="P23" s="58">
        <v>3923109090</v>
      </c>
      <c r="Q23" s="55">
        <v>6.5000000000000002E-2</v>
      </c>
      <c r="R23" s="16" t="s">
        <v>452</v>
      </c>
      <c r="S23" s="16">
        <v>6.45</v>
      </c>
      <c r="T23" s="16">
        <v>0.06</v>
      </c>
      <c r="U23" s="60" t="s">
        <v>69</v>
      </c>
    </row>
    <row r="24" spans="1:21" s="3" customFormat="1" ht="18" customHeight="1">
      <c r="A24" s="164">
        <v>22</v>
      </c>
      <c r="B24" s="358" t="s">
        <v>455</v>
      </c>
      <c r="C24" s="24" t="s">
        <v>60</v>
      </c>
      <c r="D24" s="16" t="s">
        <v>445</v>
      </c>
      <c r="E24" s="22" t="s">
        <v>61</v>
      </c>
      <c r="F24" s="19" t="s">
        <v>41</v>
      </c>
      <c r="G24" s="20" t="s">
        <v>446</v>
      </c>
      <c r="H24" s="19" t="s">
        <v>41</v>
      </c>
      <c r="I24" s="38" t="s">
        <v>447</v>
      </c>
      <c r="J24" s="16">
        <v>48</v>
      </c>
      <c r="K24" s="346">
        <f>L24-1.5</f>
        <v>12.7</v>
      </c>
      <c r="L24" s="346">
        <v>14.2</v>
      </c>
      <c r="M24" s="344">
        <v>1</v>
      </c>
      <c r="N24" s="37">
        <v>0.33</v>
      </c>
      <c r="O24" s="37">
        <f t="shared" si="0"/>
        <v>15.84</v>
      </c>
      <c r="P24" s="58">
        <v>8424200000</v>
      </c>
      <c r="Q24" s="55">
        <v>1.7000000000000001E-2</v>
      </c>
      <c r="R24" s="16" t="s">
        <v>448</v>
      </c>
      <c r="S24" s="16">
        <v>9.99</v>
      </c>
      <c r="T24" s="16">
        <v>0.34</v>
      </c>
      <c r="U24" s="60" t="s">
        <v>64</v>
      </c>
    </row>
    <row r="25" spans="1:21" s="3" customFormat="1" ht="18" customHeight="1">
      <c r="A25" s="164">
        <v>23</v>
      </c>
      <c r="B25" s="359"/>
      <c r="C25" s="24" t="s">
        <v>65</v>
      </c>
      <c r="D25" s="16" t="s">
        <v>449</v>
      </c>
      <c r="E25" s="22" t="s">
        <v>66</v>
      </c>
      <c r="F25" s="19" t="s">
        <v>41</v>
      </c>
      <c r="G25" s="20" t="s">
        <v>450</v>
      </c>
      <c r="H25" s="19" t="s">
        <v>41</v>
      </c>
      <c r="I25" s="41" t="s">
        <v>451</v>
      </c>
      <c r="J25" s="16">
        <v>30</v>
      </c>
      <c r="K25" s="347"/>
      <c r="L25" s="347"/>
      <c r="M25" s="345"/>
      <c r="N25" s="37">
        <v>0.22</v>
      </c>
      <c r="O25" s="37">
        <f t="shared" si="0"/>
        <v>6.6</v>
      </c>
      <c r="P25" s="58">
        <v>3923109090</v>
      </c>
      <c r="Q25" s="55">
        <v>6.5000000000000002E-2</v>
      </c>
      <c r="R25" s="16" t="s">
        <v>452</v>
      </c>
      <c r="S25" s="16">
        <v>6.45</v>
      </c>
      <c r="T25" s="16">
        <v>0.06</v>
      </c>
      <c r="U25" s="60" t="s">
        <v>69</v>
      </c>
    </row>
    <row r="26" spans="1:21" s="3" customFormat="1" ht="18" customHeight="1">
      <c r="A26" s="164">
        <v>24</v>
      </c>
      <c r="B26" s="358" t="s">
        <v>456</v>
      </c>
      <c r="C26" s="24" t="s">
        <v>60</v>
      </c>
      <c r="D26" s="16" t="s">
        <v>445</v>
      </c>
      <c r="E26" s="22" t="s">
        <v>61</v>
      </c>
      <c r="F26" s="19" t="s">
        <v>41</v>
      </c>
      <c r="G26" s="20" t="s">
        <v>446</v>
      </c>
      <c r="H26" s="19" t="s">
        <v>41</v>
      </c>
      <c r="I26" s="38" t="s">
        <v>447</v>
      </c>
      <c r="J26" s="16">
        <v>48</v>
      </c>
      <c r="K26" s="346">
        <f>L26-1.5</f>
        <v>12.7</v>
      </c>
      <c r="L26" s="346">
        <v>14.2</v>
      </c>
      <c r="M26" s="344">
        <v>1</v>
      </c>
      <c r="N26" s="37">
        <v>0.33</v>
      </c>
      <c r="O26" s="37">
        <f t="shared" si="0"/>
        <v>15.84</v>
      </c>
      <c r="P26" s="58">
        <v>8424200000</v>
      </c>
      <c r="Q26" s="55">
        <v>1.7000000000000001E-2</v>
      </c>
      <c r="R26" s="16" t="s">
        <v>448</v>
      </c>
      <c r="S26" s="16">
        <v>9.99</v>
      </c>
      <c r="T26" s="16">
        <v>0.34</v>
      </c>
      <c r="U26" s="60" t="s">
        <v>64</v>
      </c>
    </row>
    <row r="27" spans="1:21" s="3" customFormat="1" ht="18" customHeight="1">
      <c r="A27" s="164">
        <v>25</v>
      </c>
      <c r="B27" s="359"/>
      <c r="C27" s="24" t="s">
        <v>65</v>
      </c>
      <c r="D27" s="16" t="s">
        <v>449</v>
      </c>
      <c r="E27" s="22" t="s">
        <v>66</v>
      </c>
      <c r="F27" s="19" t="s">
        <v>41</v>
      </c>
      <c r="G27" s="20" t="s">
        <v>450</v>
      </c>
      <c r="H27" s="19" t="s">
        <v>41</v>
      </c>
      <c r="I27" s="41" t="s">
        <v>451</v>
      </c>
      <c r="J27" s="16">
        <v>30</v>
      </c>
      <c r="K27" s="347"/>
      <c r="L27" s="347"/>
      <c r="M27" s="345"/>
      <c r="N27" s="37">
        <v>0.22</v>
      </c>
      <c r="O27" s="37">
        <f t="shared" si="0"/>
        <v>6.6</v>
      </c>
      <c r="P27" s="58">
        <v>3923109090</v>
      </c>
      <c r="Q27" s="55">
        <v>6.5000000000000002E-2</v>
      </c>
      <c r="R27" s="16" t="s">
        <v>452</v>
      </c>
      <c r="S27" s="16">
        <v>6.45</v>
      </c>
      <c r="T27" s="16">
        <v>0.06</v>
      </c>
      <c r="U27" s="60" t="s">
        <v>69</v>
      </c>
    </row>
    <row r="28" spans="1:21" s="3" customFormat="1" ht="18" customHeight="1">
      <c r="A28" s="164">
        <v>26</v>
      </c>
      <c r="B28" s="358" t="s">
        <v>457</v>
      </c>
      <c r="C28" s="24" t="s">
        <v>60</v>
      </c>
      <c r="D28" s="16" t="s">
        <v>445</v>
      </c>
      <c r="E28" s="22" t="s">
        <v>61</v>
      </c>
      <c r="F28" s="19" t="s">
        <v>41</v>
      </c>
      <c r="G28" s="20" t="s">
        <v>446</v>
      </c>
      <c r="H28" s="19" t="s">
        <v>41</v>
      </c>
      <c r="I28" s="38" t="s">
        <v>447</v>
      </c>
      <c r="J28" s="16">
        <v>48</v>
      </c>
      <c r="K28" s="346">
        <f>L28-1.5</f>
        <v>12.7</v>
      </c>
      <c r="L28" s="346">
        <v>14.2</v>
      </c>
      <c r="M28" s="344">
        <v>1</v>
      </c>
      <c r="N28" s="37">
        <v>0.33</v>
      </c>
      <c r="O28" s="37">
        <f t="shared" si="0"/>
        <v>15.84</v>
      </c>
      <c r="P28" s="58">
        <v>8424200000</v>
      </c>
      <c r="Q28" s="55">
        <v>1.7000000000000001E-2</v>
      </c>
      <c r="R28" s="16" t="s">
        <v>448</v>
      </c>
      <c r="S28" s="16">
        <v>9.99</v>
      </c>
      <c r="T28" s="16">
        <v>0.34</v>
      </c>
      <c r="U28" s="60" t="s">
        <v>64</v>
      </c>
    </row>
    <row r="29" spans="1:21" s="3" customFormat="1" ht="18" customHeight="1">
      <c r="A29" s="164">
        <v>27</v>
      </c>
      <c r="B29" s="359"/>
      <c r="C29" s="24" t="s">
        <v>65</v>
      </c>
      <c r="D29" s="16" t="s">
        <v>449</v>
      </c>
      <c r="E29" s="22" t="s">
        <v>66</v>
      </c>
      <c r="F29" s="19" t="s">
        <v>41</v>
      </c>
      <c r="G29" s="20" t="s">
        <v>450</v>
      </c>
      <c r="H29" s="19" t="s">
        <v>41</v>
      </c>
      <c r="I29" s="41" t="s">
        <v>451</v>
      </c>
      <c r="J29" s="16">
        <v>30</v>
      </c>
      <c r="K29" s="347"/>
      <c r="L29" s="347"/>
      <c r="M29" s="345"/>
      <c r="N29" s="37">
        <v>0.22</v>
      </c>
      <c r="O29" s="37">
        <f t="shared" si="0"/>
        <v>6.6</v>
      </c>
      <c r="P29" s="58">
        <v>3923109090</v>
      </c>
      <c r="Q29" s="55">
        <v>6.5000000000000002E-2</v>
      </c>
      <c r="R29" s="16" t="s">
        <v>452</v>
      </c>
      <c r="S29" s="16">
        <v>6.45</v>
      </c>
      <c r="T29" s="16">
        <v>0.06</v>
      </c>
      <c r="U29" s="60" t="s">
        <v>69</v>
      </c>
    </row>
    <row r="30" spans="1:21" s="3" customFormat="1" ht="18" customHeight="1">
      <c r="A30" s="164">
        <v>28</v>
      </c>
      <c r="B30" s="358" t="s">
        <v>458</v>
      </c>
      <c r="C30" s="24" t="s">
        <v>60</v>
      </c>
      <c r="D30" s="16" t="s">
        <v>445</v>
      </c>
      <c r="E30" s="22" t="s">
        <v>61</v>
      </c>
      <c r="F30" s="19" t="s">
        <v>41</v>
      </c>
      <c r="G30" s="20" t="s">
        <v>446</v>
      </c>
      <c r="H30" s="19" t="s">
        <v>41</v>
      </c>
      <c r="I30" s="38" t="s">
        <v>447</v>
      </c>
      <c r="J30" s="16">
        <v>48</v>
      </c>
      <c r="K30" s="346">
        <f>L30-1.5</f>
        <v>12.7</v>
      </c>
      <c r="L30" s="346">
        <v>14.2</v>
      </c>
      <c r="M30" s="344">
        <v>1</v>
      </c>
      <c r="N30" s="37">
        <v>0.33</v>
      </c>
      <c r="O30" s="37">
        <f t="shared" si="0"/>
        <v>15.84</v>
      </c>
      <c r="P30" s="58">
        <v>8424200000</v>
      </c>
      <c r="Q30" s="55">
        <v>1.7000000000000001E-2</v>
      </c>
      <c r="R30" s="16" t="s">
        <v>448</v>
      </c>
      <c r="S30" s="16">
        <v>9.99</v>
      </c>
      <c r="T30" s="16">
        <v>0.34</v>
      </c>
      <c r="U30" s="60" t="s">
        <v>64</v>
      </c>
    </row>
    <row r="31" spans="1:21" s="3" customFormat="1" ht="18" customHeight="1">
      <c r="A31" s="164">
        <v>29</v>
      </c>
      <c r="B31" s="359"/>
      <c r="C31" s="24" t="s">
        <v>65</v>
      </c>
      <c r="D31" s="16" t="s">
        <v>449</v>
      </c>
      <c r="E31" s="22" t="s">
        <v>66</v>
      </c>
      <c r="F31" s="19" t="s">
        <v>41</v>
      </c>
      <c r="G31" s="20" t="s">
        <v>450</v>
      </c>
      <c r="H31" s="19" t="s">
        <v>41</v>
      </c>
      <c r="I31" s="41" t="s">
        <v>451</v>
      </c>
      <c r="J31" s="16">
        <v>30</v>
      </c>
      <c r="K31" s="347"/>
      <c r="L31" s="347"/>
      <c r="M31" s="345"/>
      <c r="N31" s="37">
        <v>0.22</v>
      </c>
      <c r="O31" s="37">
        <f t="shared" si="0"/>
        <v>6.6</v>
      </c>
      <c r="P31" s="58">
        <v>3923109090</v>
      </c>
      <c r="Q31" s="55">
        <v>6.5000000000000002E-2</v>
      </c>
      <c r="R31" s="16" t="s">
        <v>452</v>
      </c>
      <c r="S31" s="16">
        <v>6.45</v>
      </c>
      <c r="T31" s="16">
        <v>0.06</v>
      </c>
      <c r="U31" s="60" t="s">
        <v>69</v>
      </c>
    </row>
    <row r="32" spans="1:21" s="3" customFormat="1" ht="18" customHeight="1">
      <c r="A32" s="164">
        <v>30</v>
      </c>
      <c r="B32" s="358" t="s">
        <v>459</v>
      </c>
      <c r="C32" s="24" t="s">
        <v>60</v>
      </c>
      <c r="D32" s="16" t="s">
        <v>445</v>
      </c>
      <c r="E32" s="22" t="s">
        <v>61</v>
      </c>
      <c r="F32" s="19" t="s">
        <v>41</v>
      </c>
      <c r="G32" s="20" t="s">
        <v>446</v>
      </c>
      <c r="H32" s="19" t="s">
        <v>41</v>
      </c>
      <c r="I32" s="38" t="s">
        <v>447</v>
      </c>
      <c r="J32" s="16">
        <v>48</v>
      </c>
      <c r="K32" s="346">
        <f>L32-1.5</f>
        <v>12.7</v>
      </c>
      <c r="L32" s="346">
        <v>14.2</v>
      </c>
      <c r="M32" s="344">
        <v>1</v>
      </c>
      <c r="N32" s="37">
        <v>0.33</v>
      </c>
      <c r="O32" s="37">
        <f t="shared" si="0"/>
        <v>15.84</v>
      </c>
      <c r="P32" s="58">
        <v>8424200000</v>
      </c>
      <c r="Q32" s="55">
        <v>1.7000000000000001E-2</v>
      </c>
      <c r="R32" s="16" t="s">
        <v>448</v>
      </c>
      <c r="S32" s="16">
        <v>9.99</v>
      </c>
      <c r="T32" s="16">
        <v>0.34</v>
      </c>
      <c r="U32" s="60" t="s">
        <v>64</v>
      </c>
    </row>
    <row r="33" spans="1:21" s="3" customFormat="1" ht="18" customHeight="1">
      <c r="A33" s="164">
        <v>31</v>
      </c>
      <c r="B33" s="359"/>
      <c r="C33" s="24" t="s">
        <v>65</v>
      </c>
      <c r="D33" s="16" t="s">
        <v>449</v>
      </c>
      <c r="E33" s="22" t="s">
        <v>66</v>
      </c>
      <c r="F33" s="19" t="s">
        <v>41</v>
      </c>
      <c r="G33" s="20" t="s">
        <v>450</v>
      </c>
      <c r="H33" s="19" t="s">
        <v>41</v>
      </c>
      <c r="I33" s="41" t="s">
        <v>451</v>
      </c>
      <c r="J33" s="16">
        <v>30</v>
      </c>
      <c r="K33" s="347"/>
      <c r="L33" s="347"/>
      <c r="M33" s="345"/>
      <c r="N33" s="37">
        <v>0.22</v>
      </c>
      <c r="O33" s="37">
        <f t="shared" si="0"/>
        <v>6.6</v>
      </c>
      <c r="P33" s="58">
        <v>3923109090</v>
      </c>
      <c r="Q33" s="55">
        <v>6.5000000000000002E-2</v>
      </c>
      <c r="R33" s="16" t="s">
        <v>452</v>
      </c>
      <c r="S33" s="16">
        <v>6.45</v>
      </c>
      <c r="T33" s="16">
        <v>0.06</v>
      </c>
      <c r="U33" s="60" t="s">
        <v>69</v>
      </c>
    </row>
    <row r="34" spans="1:21" s="3" customFormat="1" ht="18" customHeight="1">
      <c r="A34" s="164">
        <v>32</v>
      </c>
      <c r="B34" s="358" t="s">
        <v>460</v>
      </c>
      <c r="C34" s="24" t="s">
        <v>60</v>
      </c>
      <c r="D34" s="16" t="s">
        <v>445</v>
      </c>
      <c r="E34" s="22" t="s">
        <v>61</v>
      </c>
      <c r="F34" s="19" t="s">
        <v>41</v>
      </c>
      <c r="G34" s="20" t="s">
        <v>446</v>
      </c>
      <c r="H34" s="19" t="s">
        <v>41</v>
      </c>
      <c r="I34" s="38" t="s">
        <v>447</v>
      </c>
      <c r="J34" s="16">
        <v>48</v>
      </c>
      <c r="K34" s="346">
        <f>L34-1.5</f>
        <v>12.7</v>
      </c>
      <c r="L34" s="346">
        <v>14.2</v>
      </c>
      <c r="M34" s="344">
        <v>1</v>
      </c>
      <c r="N34" s="37">
        <v>0.33</v>
      </c>
      <c r="O34" s="37">
        <f t="shared" si="0"/>
        <v>15.84</v>
      </c>
      <c r="P34" s="58">
        <v>8424200000</v>
      </c>
      <c r="Q34" s="55">
        <v>1.7000000000000001E-2</v>
      </c>
      <c r="R34" s="16" t="s">
        <v>448</v>
      </c>
      <c r="S34" s="16">
        <v>9.99</v>
      </c>
      <c r="T34" s="16">
        <v>0.34</v>
      </c>
      <c r="U34" s="60" t="s">
        <v>64</v>
      </c>
    </row>
    <row r="35" spans="1:21" s="3" customFormat="1" ht="18" customHeight="1">
      <c r="A35" s="164">
        <v>33</v>
      </c>
      <c r="B35" s="359"/>
      <c r="C35" s="24" t="s">
        <v>65</v>
      </c>
      <c r="D35" s="16" t="s">
        <v>449</v>
      </c>
      <c r="E35" s="22" t="s">
        <v>66</v>
      </c>
      <c r="F35" s="19" t="s">
        <v>41</v>
      </c>
      <c r="G35" s="20" t="s">
        <v>450</v>
      </c>
      <c r="H35" s="19" t="s">
        <v>41</v>
      </c>
      <c r="I35" s="41" t="s">
        <v>451</v>
      </c>
      <c r="J35" s="16">
        <v>30</v>
      </c>
      <c r="K35" s="347"/>
      <c r="L35" s="347"/>
      <c r="M35" s="345"/>
      <c r="N35" s="37">
        <v>0.22</v>
      </c>
      <c r="O35" s="37">
        <f t="shared" si="0"/>
        <v>6.6</v>
      </c>
      <c r="P35" s="58">
        <v>3923109090</v>
      </c>
      <c r="Q35" s="55">
        <v>6.5000000000000002E-2</v>
      </c>
      <c r="R35" s="16" t="s">
        <v>452</v>
      </c>
      <c r="S35" s="16">
        <v>6.45</v>
      </c>
      <c r="T35" s="16">
        <v>0.06</v>
      </c>
      <c r="U35" s="60" t="s">
        <v>69</v>
      </c>
    </row>
    <row r="36" spans="1:21" s="3" customFormat="1" ht="18" customHeight="1">
      <c r="A36" s="164">
        <v>34</v>
      </c>
      <c r="B36" s="358" t="s">
        <v>461</v>
      </c>
      <c r="C36" s="24" t="s">
        <v>60</v>
      </c>
      <c r="D36" s="16" t="s">
        <v>445</v>
      </c>
      <c r="E36" s="22" t="s">
        <v>61</v>
      </c>
      <c r="F36" s="19" t="s">
        <v>41</v>
      </c>
      <c r="G36" s="20" t="s">
        <v>446</v>
      </c>
      <c r="H36" s="19" t="s">
        <v>41</v>
      </c>
      <c r="I36" s="38" t="s">
        <v>447</v>
      </c>
      <c r="J36" s="16">
        <v>48</v>
      </c>
      <c r="K36" s="346">
        <f>L36-1.5</f>
        <v>12.7</v>
      </c>
      <c r="L36" s="346">
        <v>14.2</v>
      </c>
      <c r="M36" s="344">
        <v>1</v>
      </c>
      <c r="N36" s="37">
        <v>0.33</v>
      </c>
      <c r="O36" s="37">
        <f t="shared" si="0"/>
        <v>15.84</v>
      </c>
      <c r="P36" s="58">
        <v>8424200000</v>
      </c>
      <c r="Q36" s="55">
        <v>1.7000000000000001E-2</v>
      </c>
      <c r="R36" s="16" t="s">
        <v>448</v>
      </c>
      <c r="S36" s="16">
        <v>9.99</v>
      </c>
      <c r="T36" s="16">
        <v>0.34</v>
      </c>
      <c r="U36" s="60" t="s">
        <v>64</v>
      </c>
    </row>
    <row r="37" spans="1:21" s="3" customFormat="1" ht="18" customHeight="1">
      <c r="A37" s="164">
        <v>35</v>
      </c>
      <c r="B37" s="359"/>
      <c r="C37" s="24" t="s">
        <v>65</v>
      </c>
      <c r="D37" s="16" t="s">
        <v>449</v>
      </c>
      <c r="E37" s="22" t="s">
        <v>66</v>
      </c>
      <c r="F37" s="19" t="s">
        <v>41</v>
      </c>
      <c r="G37" s="20" t="s">
        <v>450</v>
      </c>
      <c r="H37" s="19" t="s">
        <v>41</v>
      </c>
      <c r="I37" s="41" t="s">
        <v>451</v>
      </c>
      <c r="J37" s="16">
        <v>32</v>
      </c>
      <c r="K37" s="347"/>
      <c r="L37" s="347"/>
      <c r="M37" s="345"/>
      <c r="N37" s="37">
        <v>0.22</v>
      </c>
      <c r="O37" s="37">
        <f t="shared" si="0"/>
        <v>7.04</v>
      </c>
      <c r="P37" s="58">
        <v>3923109090</v>
      </c>
      <c r="Q37" s="55">
        <v>6.5000000000000002E-2</v>
      </c>
      <c r="R37" s="16" t="s">
        <v>452</v>
      </c>
      <c r="S37" s="16">
        <v>6.45</v>
      </c>
      <c r="T37" s="16">
        <v>0.06</v>
      </c>
      <c r="U37" s="60" t="s">
        <v>69</v>
      </c>
    </row>
    <row r="38" spans="1:21" s="3" customFormat="1" ht="18" customHeight="1">
      <c r="A38" s="164">
        <v>36</v>
      </c>
      <c r="B38" s="23" t="s">
        <v>462</v>
      </c>
      <c r="C38" s="16" t="s">
        <v>80</v>
      </c>
      <c r="D38" s="16" t="s">
        <v>463</v>
      </c>
      <c r="E38" s="22" t="s">
        <v>81</v>
      </c>
      <c r="F38" s="19" t="s">
        <v>41</v>
      </c>
      <c r="G38" s="20" t="s">
        <v>464</v>
      </c>
      <c r="H38" s="19" t="s">
        <v>41</v>
      </c>
      <c r="I38" s="38" t="s">
        <v>465</v>
      </c>
      <c r="J38" s="42">
        <v>204</v>
      </c>
      <c r="K38" s="146">
        <f>L38-1.5</f>
        <v>22.25</v>
      </c>
      <c r="L38" s="146">
        <v>23.75</v>
      </c>
      <c r="M38" s="15">
        <v>1</v>
      </c>
      <c r="N38" s="37">
        <v>0.08</v>
      </c>
      <c r="O38" s="37">
        <f t="shared" si="0"/>
        <v>16.32</v>
      </c>
      <c r="P38" s="58">
        <v>9609909000</v>
      </c>
      <c r="Q38" s="55">
        <v>1.7000000000000001E-2</v>
      </c>
      <c r="R38" s="16" t="s">
        <v>466</v>
      </c>
      <c r="S38" s="16">
        <v>7.99</v>
      </c>
      <c r="T38" s="16">
        <v>4.4999999999999998E-2</v>
      </c>
      <c r="U38" s="61" t="s">
        <v>84</v>
      </c>
    </row>
    <row r="39" spans="1:21" s="3" customFormat="1" ht="18" customHeight="1">
      <c r="A39" s="164">
        <v>37</v>
      </c>
      <c r="B39" s="360" t="s">
        <v>85</v>
      </c>
      <c r="C39" s="90" t="s">
        <v>86</v>
      </c>
      <c r="D39" s="16" t="s">
        <v>467</v>
      </c>
      <c r="E39" s="22" t="s">
        <v>87</v>
      </c>
      <c r="F39" s="19" t="s">
        <v>41</v>
      </c>
      <c r="G39" s="166" t="s">
        <v>468</v>
      </c>
      <c r="H39" s="19" t="s">
        <v>41</v>
      </c>
      <c r="I39" s="43" t="s">
        <v>469</v>
      </c>
      <c r="J39" s="25">
        <v>30</v>
      </c>
      <c r="K39" s="348">
        <f>L39-1.5</f>
        <v>11</v>
      </c>
      <c r="L39" s="348">
        <v>12.5</v>
      </c>
      <c r="M39" s="339">
        <v>1</v>
      </c>
      <c r="N39" s="37">
        <v>0.8</v>
      </c>
      <c r="O39" s="37">
        <f t="shared" si="0"/>
        <v>24</v>
      </c>
      <c r="P39" s="58">
        <v>3926909790</v>
      </c>
      <c r="Q39" s="55">
        <v>6.5000000000000002E-2</v>
      </c>
      <c r="R39" s="62" t="s">
        <v>470</v>
      </c>
      <c r="S39" s="62">
        <v>11.16</v>
      </c>
      <c r="T39" s="62">
        <v>0.22</v>
      </c>
      <c r="U39" s="63" t="s">
        <v>90</v>
      </c>
    </row>
    <row r="40" spans="1:21" s="3" customFormat="1" ht="18" customHeight="1">
      <c r="A40" s="164">
        <v>38</v>
      </c>
      <c r="B40" s="361"/>
      <c r="C40" s="90" t="s">
        <v>91</v>
      </c>
      <c r="D40" s="16" t="s">
        <v>471</v>
      </c>
      <c r="E40" s="22" t="s">
        <v>92</v>
      </c>
      <c r="F40" s="19" t="s">
        <v>41</v>
      </c>
      <c r="G40" s="167" t="s">
        <v>93</v>
      </c>
      <c r="H40" s="19" t="s">
        <v>41</v>
      </c>
      <c r="I40" s="43" t="s">
        <v>472</v>
      </c>
      <c r="J40" s="25">
        <v>30</v>
      </c>
      <c r="K40" s="349"/>
      <c r="L40" s="349"/>
      <c r="M40" s="339"/>
      <c r="N40" s="37">
        <v>0.8</v>
      </c>
      <c r="O40" s="37">
        <f t="shared" si="0"/>
        <v>24</v>
      </c>
      <c r="P40" s="58">
        <v>9506999000</v>
      </c>
      <c r="Q40" s="55">
        <v>2.7E-2</v>
      </c>
      <c r="R40" s="62" t="s">
        <v>473</v>
      </c>
      <c r="S40" s="62">
        <v>14.59</v>
      </c>
      <c r="T40" s="62">
        <v>0.66</v>
      </c>
      <c r="U40" s="63" t="s">
        <v>95</v>
      </c>
    </row>
    <row r="41" spans="1:21" s="3" customFormat="1" ht="18" customHeight="1">
      <c r="A41" s="164">
        <v>39</v>
      </c>
      <c r="B41" s="362" t="s">
        <v>96</v>
      </c>
      <c r="C41" s="26" t="s">
        <v>97</v>
      </c>
      <c r="D41" s="16" t="s">
        <v>474</v>
      </c>
      <c r="E41" s="22" t="s">
        <v>98</v>
      </c>
      <c r="F41" s="19" t="s">
        <v>41</v>
      </c>
      <c r="G41" s="27" t="s">
        <v>475</v>
      </c>
      <c r="H41" s="19" t="s">
        <v>41</v>
      </c>
      <c r="I41" s="44" t="s">
        <v>476</v>
      </c>
      <c r="J41" s="25">
        <v>29</v>
      </c>
      <c r="K41" s="350">
        <f>L41-1.5</f>
        <v>11.7</v>
      </c>
      <c r="L41" s="350">
        <v>13.2</v>
      </c>
      <c r="M41" s="339">
        <v>1</v>
      </c>
      <c r="N41" s="37">
        <v>0.8</v>
      </c>
      <c r="O41" s="37">
        <f t="shared" si="0"/>
        <v>23.200000000000003</v>
      </c>
      <c r="P41" s="58">
        <v>3923309090</v>
      </c>
      <c r="Q41" s="55">
        <v>6.5000000000000002E-2</v>
      </c>
      <c r="R41" s="62" t="s">
        <v>477</v>
      </c>
      <c r="S41" s="62">
        <v>10.99</v>
      </c>
      <c r="T41" s="62">
        <v>0.18</v>
      </c>
      <c r="U41" s="63" t="s">
        <v>101</v>
      </c>
    </row>
    <row r="42" spans="1:21" s="3" customFormat="1" ht="18" customHeight="1">
      <c r="A42" s="164">
        <v>40</v>
      </c>
      <c r="B42" s="363"/>
      <c r="C42" s="26" t="s">
        <v>102</v>
      </c>
      <c r="D42" s="16" t="s">
        <v>478</v>
      </c>
      <c r="E42" s="22" t="s">
        <v>103</v>
      </c>
      <c r="F42" s="19" t="s">
        <v>41</v>
      </c>
      <c r="G42" s="27" t="s">
        <v>479</v>
      </c>
      <c r="H42" s="19" t="s">
        <v>41</v>
      </c>
      <c r="I42" s="44" t="s">
        <v>476</v>
      </c>
      <c r="J42" s="25">
        <v>30</v>
      </c>
      <c r="K42" s="351"/>
      <c r="L42" s="351"/>
      <c r="M42" s="339"/>
      <c r="N42" s="37">
        <v>0.8</v>
      </c>
      <c r="O42" s="37">
        <f t="shared" si="0"/>
        <v>24</v>
      </c>
      <c r="P42" s="58">
        <v>7323930090</v>
      </c>
      <c r="Q42" s="55">
        <v>3.2000000000000001E-2</v>
      </c>
      <c r="R42" s="62"/>
      <c r="S42" s="62"/>
      <c r="T42" s="62">
        <v>0.25</v>
      </c>
      <c r="U42" s="63" t="s">
        <v>105</v>
      </c>
    </row>
    <row r="43" spans="1:21" s="3" customFormat="1" ht="18" customHeight="1">
      <c r="A43" s="164">
        <v>41</v>
      </c>
      <c r="B43" s="362" t="s">
        <v>106</v>
      </c>
      <c r="C43" s="26" t="s">
        <v>107</v>
      </c>
      <c r="D43" s="16" t="s">
        <v>480</v>
      </c>
      <c r="E43" s="22" t="s">
        <v>108</v>
      </c>
      <c r="F43" s="19" t="s">
        <v>41</v>
      </c>
      <c r="G43" s="25" t="s">
        <v>109</v>
      </c>
      <c r="H43" s="19" t="s">
        <v>41</v>
      </c>
      <c r="I43" s="44" t="s">
        <v>469</v>
      </c>
      <c r="J43" s="25">
        <v>30</v>
      </c>
      <c r="K43" s="350">
        <f>L43-1.5</f>
        <v>8.9499999999999993</v>
      </c>
      <c r="L43" s="350">
        <v>10.45</v>
      </c>
      <c r="M43" s="339">
        <v>1</v>
      </c>
      <c r="N43" s="37">
        <v>0.8</v>
      </c>
      <c r="O43" s="37">
        <f t="shared" si="0"/>
        <v>24</v>
      </c>
      <c r="P43" s="58">
        <v>8214200000</v>
      </c>
      <c r="Q43" s="55">
        <v>2.7E-2</v>
      </c>
      <c r="R43" s="62" t="s">
        <v>481</v>
      </c>
      <c r="S43" s="62">
        <v>11.4</v>
      </c>
      <c r="T43" s="62">
        <v>6.7000000000000004E-2</v>
      </c>
      <c r="U43" s="63" t="s">
        <v>110</v>
      </c>
    </row>
    <row r="44" spans="1:21" s="3" customFormat="1" ht="18" customHeight="1">
      <c r="A44" s="164">
        <v>42</v>
      </c>
      <c r="B44" s="363"/>
      <c r="C44" s="26" t="s">
        <v>111</v>
      </c>
      <c r="D44" s="28" t="s">
        <v>482</v>
      </c>
      <c r="E44" s="29" t="s">
        <v>483</v>
      </c>
      <c r="F44" s="19" t="s">
        <v>41</v>
      </c>
      <c r="G44" s="25" t="s">
        <v>93</v>
      </c>
      <c r="H44" s="19" t="s">
        <v>41</v>
      </c>
      <c r="I44" s="44" t="s">
        <v>484</v>
      </c>
      <c r="J44" s="25">
        <v>30</v>
      </c>
      <c r="K44" s="351"/>
      <c r="L44" s="351"/>
      <c r="M44" s="339"/>
      <c r="N44" s="37">
        <v>0.8</v>
      </c>
      <c r="O44" s="37">
        <f t="shared" si="0"/>
        <v>24</v>
      </c>
      <c r="P44" s="58">
        <v>9021109000</v>
      </c>
      <c r="Q44" s="55">
        <v>0</v>
      </c>
      <c r="R44" s="62" t="s">
        <v>485</v>
      </c>
      <c r="S44" s="62">
        <v>10.26</v>
      </c>
      <c r="T44" s="62">
        <v>0.04</v>
      </c>
      <c r="U44" s="63" t="s">
        <v>114</v>
      </c>
    </row>
    <row r="45" spans="1:21" s="3" customFormat="1" ht="18" customHeight="1">
      <c r="A45" s="164">
        <v>43</v>
      </c>
      <c r="B45" s="363"/>
      <c r="C45" s="25" t="s">
        <v>115</v>
      </c>
      <c r="D45" s="16" t="s">
        <v>486</v>
      </c>
      <c r="E45" s="22" t="s">
        <v>116</v>
      </c>
      <c r="F45" s="19" t="s">
        <v>41</v>
      </c>
      <c r="G45" s="27" t="s">
        <v>487</v>
      </c>
      <c r="H45" s="19" t="s">
        <v>41</v>
      </c>
      <c r="I45" s="44" t="s">
        <v>484</v>
      </c>
      <c r="J45" s="25">
        <v>30</v>
      </c>
      <c r="K45" s="351"/>
      <c r="L45" s="351"/>
      <c r="M45" s="339"/>
      <c r="N45" s="37">
        <v>0.8</v>
      </c>
      <c r="O45" s="37">
        <f t="shared" si="0"/>
        <v>24</v>
      </c>
      <c r="P45" s="58">
        <v>9506919000</v>
      </c>
      <c r="Q45" s="55">
        <v>2.7E-2</v>
      </c>
      <c r="R45" s="62" t="s">
        <v>488</v>
      </c>
      <c r="S45" s="62">
        <v>11.99</v>
      </c>
      <c r="T45" s="62">
        <v>8.5999999999999993E-2</v>
      </c>
      <c r="U45" s="63" t="s">
        <v>118</v>
      </c>
    </row>
    <row r="46" spans="1:21" s="3" customFormat="1" ht="18" customHeight="1">
      <c r="A46" s="164">
        <v>44</v>
      </c>
      <c r="B46" s="362" t="s">
        <v>119</v>
      </c>
      <c r="C46" s="25" t="s">
        <v>120</v>
      </c>
      <c r="D46" s="30" t="s">
        <v>489</v>
      </c>
      <c r="E46" s="22" t="s">
        <v>121</v>
      </c>
      <c r="F46" s="19" t="s">
        <v>41</v>
      </c>
      <c r="G46" s="27" t="s">
        <v>490</v>
      </c>
      <c r="H46" s="19" t="s">
        <v>41</v>
      </c>
      <c r="I46" s="44" t="s">
        <v>484</v>
      </c>
      <c r="J46" s="25">
        <v>27</v>
      </c>
      <c r="K46" s="350">
        <f>L46-1.5</f>
        <v>15.2</v>
      </c>
      <c r="L46" s="350">
        <v>16.7</v>
      </c>
      <c r="M46" s="339">
        <v>1</v>
      </c>
      <c r="N46" s="37">
        <v>0.8</v>
      </c>
      <c r="O46" s="37">
        <f t="shared" si="0"/>
        <v>21.6</v>
      </c>
      <c r="P46" s="58" t="s">
        <v>491</v>
      </c>
      <c r="Q46" s="55">
        <v>2.7E-2</v>
      </c>
      <c r="R46" s="62" t="s">
        <v>492</v>
      </c>
      <c r="S46" s="62"/>
      <c r="T46" s="62">
        <v>0.02</v>
      </c>
      <c r="U46" s="63" t="s">
        <v>123</v>
      </c>
    </row>
    <row r="47" spans="1:21" s="3" customFormat="1" ht="18" customHeight="1">
      <c r="A47" s="164">
        <v>45</v>
      </c>
      <c r="B47" s="363"/>
      <c r="C47" s="26" t="s">
        <v>124</v>
      </c>
      <c r="D47" s="16" t="s">
        <v>493</v>
      </c>
      <c r="E47" s="22" t="s">
        <v>125</v>
      </c>
      <c r="F47" s="19" t="s">
        <v>41</v>
      </c>
      <c r="G47" s="27" t="s">
        <v>494</v>
      </c>
      <c r="H47" s="19" t="s">
        <v>41</v>
      </c>
      <c r="I47" s="44" t="s">
        <v>484</v>
      </c>
      <c r="J47" s="25">
        <v>20</v>
      </c>
      <c r="K47" s="351"/>
      <c r="L47" s="351"/>
      <c r="M47" s="339"/>
      <c r="N47" s="37">
        <v>0.8</v>
      </c>
      <c r="O47" s="37">
        <f t="shared" si="0"/>
        <v>16</v>
      </c>
      <c r="P47" s="58">
        <v>6304990099</v>
      </c>
      <c r="Q47" s="55">
        <v>0.12</v>
      </c>
      <c r="R47" s="54" t="s">
        <v>495</v>
      </c>
      <c r="S47" s="54">
        <v>14.98</v>
      </c>
      <c r="T47" s="54">
        <v>0.54</v>
      </c>
      <c r="U47" s="64" t="s">
        <v>127</v>
      </c>
    </row>
    <row r="48" spans="1:21" s="3" customFormat="1" ht="18" customHeight="1">
      <c r="A48" s="164">
        <v>46</v>
      </c>
      <c r="B48" s="363"/>
      <c r="C48" s="26" t="s">
        <v>128</v>
      </c>
      <c r="D48" s="17" t="s">
        <v>426</v>
      </c>
      <c r="E48" s="22" t="s">
        <v>40</v>
      </c>
      <c r="F48" s="19" t="s">
        <v>41</v>
      </c>
      <c r="G48" s="27" t="s">
        <v>487</v>
      </c>
      <c r="H48" s="19" t="s">
        <v>41</v>
      </c>
      <c r="I48" s="44" t="s">
        <v>496</v>
      </c>
      <c r="J48" s="25">
        <v>30</v>
      </c>
      <c r="K48" s="351"/>
      <c r="L48" s="351"/>
      <c r="M48" s="339"/>
      <c r="N48" s="37">
        <v>0.55000000000000004</v>
      </c>
      <c r="O48" s="37">
        <f t="shared" si="0"/>
        <v>16.5</v>
      </c>
      <c r="P48" s="58">
        <v>6207999099</v>
      </c>
      <c r="Q48" s="55">
        <v>0.12</v>
      </c>
      <c r="R48" s="62" t="s">
        <v>497</v>
      </c>
      <c r="S48" s="62"/>
      <c r="T48" s="62">
        <v>0.54</v>
      </c>
      <c r="U48" s="63" t="s">
        <v>131</v>
      </c>
    </row>
    <row r="49" spans="1:21" s="3" customFormat="1" ht="18" customHeight="1">
      <c r="A49" s="164">
        <v>47</v>
      </c>
      <c r="B49" s="362" t="s">
        <v>132</v>
      </c>
      <c r="C49" s="26" t="s">
        <v>133</v>
      </c>
      <c r="D49" s="16" t="s">
        <v>498</v>
      </c>
      <c r="E49" s="22" t="s">
        <v>134</v>
      </c>
      <c r="F49" s="19" t="s">
        <v>41</v>
      </c>
      <c r="G49" s="27" t="s">
        <v>499</v>
      </c>
      <c r="H49" s="19" t="s">
        <v>41</v>
      </c>
      <c r="I49" s="44" t="s">
        <v>469</v>
      </c>
      <c r="J49" s="25">
        <v>30</v>
      </c>
      <c r="K49" s="350">
        <f>L49-1.5</f>
        <v>15.05</v>
      </c>
      <c r="L49" s="350">
        <v>16.55</v>
      </c>
      <c r="M49" s="339">
        <v>1</v>
      </c>
      <c r="N49" s="37">
        <v>0.8</v>
      </c>
      <c r="O49" s="37">
        <f t="shared" si="0"/>
        <v>24</v>
      </c>
      <c r="P49" s="58">
        <v>7319909000</v>
      </c>
      <c r="Q49" s="55">
        <v>2.7E-2</v>
      </c>
      <c r="R49" s="62" t="s">
        <v>500</v>
      </c>
      <c r="S49" s="62"/>
      <c r="T49" s="62">
        <v>0.28000000000000003</v>
      </c>
      <c r="U49" s="63" t="s">
        <v>136</v>
      </c>
    </row>
    <row r="50" spans="1:21" s="3" customFormat="1" ht="18" customHeight="1">
      <c r="A50" s="164">
        <v>48</v>
      </c>
      <c r="B50" s="363"/>
      <c r="C50" s="26" t="s">
        <v>124</v>
      </c>
      <c r="D50" s="16" t="s">
        <v>493</v>
      </c>
      <c r="E50" s="22" t="s">
        <v>125</v>
      </c>
      <c r="F50" s="19" t="s">
        <v>41</v>
      </c>
      <c r="G50" s="27" t="s">
        <v>494</v>
      </c>
      <c r="H50" s="19" t="s">
        <v>41</v>
      </c>
      <c r="I50" s="44" t="s">
        <v>484</v>
      </c>
      <c r="J50" s="25">
        <v>10</v>
      </c>
      <c r="K50" s="351"/>
      <c r="L50" s="351"/>
      <c r="M50" s="339"/>
      <c r="N50" s="37">
        <v>0.8</v>
      </c>
      <c r="O50" s="37">
        <f t="shared" si="0"/>
        <v>8</v>
      </c>
      <c r="P50" s="58">
        <v>6304990099</v>
      </c>
      <c r="Q50" s="55">
        <v>0.12</v>
      </c>
      <c r="R50" s="54" t="s">
        <v>495</v>
      </c>
      <c r="S50" s="54">
        <v>14.98</v>
      </c>
      <c r="T50" s="54">
        <v>0.54</v>
      </c>
      <c r="U50" s="25" t="s">
        <v>127</v>
      </c>
    </row>
    <row r="51" spans="1:21" s="3" customFormat="1" ht="18" customHeight="1">
      <c r="A51" s="164">
        <v>49</v>
      </c>
      <c r="B51" s="363"/>
      <c r="C51" s="26" t="s">
        <v>137</v>
      </c>
      <c r="D51" s="28" t="s">
        <v>482</v>
      </c>
      <c r="E51" s="29" t="s">
        <v>483</v>
      </c>
      <c r="F51" s="19" t="s">
        <v>41</v>
      </c>
      <c r="G51" s="27" t="s">
        <v>501</v>
      </c>
      <c r="H51" s="19" t="s">
        <v>41</v>
      </c>
      <c r="I51" s="44" t="s">
        <v>484</v>
      </c>
      <c r="J51" s="25">
        <v>26</v>
      </c>
      <c r="K51" s="351"/>
      <c r="L51" s="351"/>
      <c r="M51" s="339"/>
      <c r="N51" s="37">
        <v>0.8</v>
      </c>
      <c r="O51" s="37">
        <f t="shared" si="0"/>
        <v>20.8</v>
      </c>
      <c r="P51" s="58">
        <v>9021109000</v>
      </c>
      <c r="Q51" s="55">
        <v>0</v>
      </c>
      <c r="R51" s="62" t="s">
        <v>502</v>
      </c>
      <c r="S51" s="62">
        <v>11.99</v>
      </c>
      <c r="T51" s="62">
        <v>0.1</v>
      </c>
      <c r="U51" s="63" t="s">
        <v>140</v>
      </c>
    </row>
    <row r="52" spans="1:21" s="3" customFormat="1" ht="18" customHeight="1">
      <c r="A52" s="164">
        <v>50</v>
      </c>
      <c r="B52" s="168" t="s">
        <v>141</v>
      </c>
      <c r="C52" s="26" t="s">
        <v>128</v>
      </c>
      <c r="D52" s="17" t="s">
        <v>426</v>
      </c>
      <c r="E52" s="22" t="s">
        <v>40</v>
      </c>
      <c r="F52" s="19" t="s">
        <v>41</v>
      </c>
      <c r="G52" s="27" t="s">
        <v>487</v>
      </c>
      <c r="H52" s="19" t="s">
        <v>41</v>
      </c>
      <c r="I52" s="44" t="s">
        <v>496</v>
      </c>
      <c r="J52" s="25">
        <v>30</v>
      </c>
      <c r="K52" s="154">
        <f>L52-1.5</f>
        <v>18.25</v>
      </c>
      <c r="L52" s="154">
        <v>19.75</v>
      </c>
      <c r="M52" s="26">
        <v>1</v>
      </c>
      <c r="N52" s="37">
        <v>0.55000000000000004</v>
      </c>
      <c r="O52" s="37">
        <f t="shared" si="0"/>
        <v>16.5</v>
      </c>
      <c r="P52" s="58">
        <v>6207999099</v>
      </c>
      <c r="Q52" s="55">
        <v>0.12</v>
      </c>
      <c r="R52" s="62" t="s">
        <v>503</v>
      </c>
      <c r="S52" s="62"/>
      <c r="T52" s="62">
        <v>0.2</v>
      </c>
      <c r="U52" s="63" t="s">
        <v>142</v>
      </c>
    </row>
    <row r="53" spans="1:21" s="3" customFormat="1" ht="18" customHeight="1">
      <c r="A53" s="164">
        <v>51</v>
      </c>
      <c r="B53" s="362" t="s">
        <v>143</v>
      </c>
      <c r="C53" s="26" t="s">
        <v>144</v>
      </c>
      <c r="D53" s="16" t="s">
        <v>504</v>
      </c>
      <c r="E53" s="22" t="s">
        <v>145</v>
      </c>
      <c r="F53" s="19" t="s">
        <v>41</v>
      </c>
      <c r="G53" s="27" t="s">
        <v>499</v>
      </c>
      <c r="H53" s="19" t="s">
        <v>41</v>
      </c>
      <c r="I53" s="44" t="s">
        <v>476</v>
      </c>
      <c r="J53" s="25">
        <v>30</v>
      </c>
      <c r="K53" s="350">
        <f>L53-1.5</f>
        <v>12.35</v>
      </c>
      <c r="L53" s="350">
        <v>13.85</v>
      </c>
      <c r="M53" s="339">
        <v>1</v>
      </c>
      <c r="N53" s="37">
        <v>0.8</v>
      </c>
      <c r="O53" s="37">
        <f t="shared" si="0"/>
        <v>24</v>
      </c>
      <c r="P53" s="58">
        <v>7323930090</v>
      </c>
      <c r="Q53" s="55">
        <v>3.2000000000000001E-2</v>
      </c>
      <c r="R53" s="62"/>
      <c r="S53" s="62"/>
      <c r="T53" s="62">
        <v>0.25</v>
      </c>
      <c r="U53" s="63" t="s">
        <v>146</v>
      </c>
    </row>
    <row r="54" spans="1:21" s="3" customFormat="1" ht="18" customHeight="1">
      <c r="A54" s="164">
        <v>52</v>
      </c>
      <c r="B54" s="363"/>
      <c r="C54" s="26" t="s">
        <v>147</v>
      </c>
      <c r="D54" s="16" t="s">
        <v>505</v>
      </c>
      <c r="E54" s="22" t="s">
        <v>148</v>
      </c>
      <c r="F54" s="19" t="s">
        <v>41</v>
      </c>
      <c r="G54" s="27" t="s">
        <v>506</v>
      </c>
      <c r="H54" s="19" t="s">
        <v>41</v>
      </c>
      <c r="I54" s="44" t="s">
        <v>472</v>
      </c>
      <c r="J54" s="25">
        <v>27</v>
      </c>
      <c r="K54" s="351"/>
      <c r="L54" s="351"/>
      <c r="M54" s="339"/>
      <c r="N54" s="37">
        <v>0.8</v>
      </c>
      <c r="O54" s="37">
        <f t="shared" si="0"/>
        <v>21.6</v>
      </c>
      <c r="P54" s="58">
        <v>5908000000</v>
      </c>
      <c r="Q54" s="55">
        <v>5.6000000000000001E-2</v>
      </c>
      <c r="R54" s="62" t="s">
        <v>507</v>
      </c>
      <c r="S54" s="62">
        <v>8.99</v>
      </c>
      <c r="T54" s="62">
        <v>0.04</v>
      </c>
      <c r="U54" s="63" t="s">
        <v>150</v>
      </c>
    </row>
    <row r="55" spans="1:21" s="3" customFormat="1" ht="18" customHeight="1">
      <c r="A55" s="164">
        <v>53</v>
      </c>
      <c r="B55" s="363"/>
      <c r="C55" s="26" t="s">
        <v>151</v>
      </c>
      <c r="D55" s="16" t="s">
        <v>508</v>
      </c>
      <c r="E55" s="22" t="s">
        <v>152</v>
      </c>
      <c r="F55" s="19" t="s">
        <v>41</v>
      </c>
      <c r="G55" s="27" t="s">
        <v>487</v>
      </c>
      <c r="H55" s="19" t="s">
        <v>41</v>
      </c>
      <c r="I55" s="44" t="s">
        <v>484</v>
      </c>
      <c r="J55" s="25">
        <v>30</v>
      </c>
      <c r="K55" s="351"/>
      <c r="L55" s="351"/>
      <c r="M55" s="339"/>
      <c r="N55" s="37">
        <v>0.8</v>
      </c>
      <c r="O55" s="37">
        <f t="shared" si="0"/>
        <v>24</v>
      </c>
      <c r="P55" s="58">
        <v>9021109000</v>
      </c>
      <c r="Q55" s="55">
        <v>0</v>
      </c>
      <c r="R55" s="62" t="s">
        <v>509</v>
      </c>
      <c r="S55" s="62">
        <v>13.66</v>
      </c>
      <c r="T55" s="62">
        <v>0.15</v>
      </c>
      <c r="U55" s="63" t="s">
        <v>153</v>
      </c>
    </row>
    <row r="56" spans="1:21" s="3" customFormat="1" ht="18" customHeight="1">
      <c r="A56" s="164">
        <v>54</v>
      </c>
      <c r="B56" s="168" t="s">
        <v>154</v>
      </c>
      <c r="C56" s="26" t="s">
        <v>155</v>
      </c>
      <c r="D56" s="17" t="s">
        <v>426</v>
      </c>
      <c r="E56" s="22" t="s">
        <v>40</v>
      </c>
      <c r="F56" s="19" t="s">
        <v>41</v>
      </c>
      <c r="G56" s="27" t="s">
        <v>487</v>
      </c>
      <c r="H56" s="19" t="s">
        <v>41</v>
      </c>
      <c r="I56" s="44" t="s">
        <v>484</v>
      </c>
      <c r="J56" s="25">
        <v>30</v>
      </c>
      <c r="K56" s="154">
        <f>L56-1.5</f>
        <v>12.35</v>
      </c>
      <c r="L56" s="154">
        <v>13.85</v>
      </c>
      <c r="M56" s="26">
        <v>1</v>
      </c>
      <c r="N56" s="37">
        <v>0.55000000000000004</v>
      </c>
      <c r="O56" s="37">
        <f t="shared" si="0"/>
        <v>16.5</v>
      </c>
      <c r="P56" s="58">
        <v>6207999099</v>
      </c>
      <c r="Q56" s="55">
        <v>0.12</v>
      </c>
      <c r="R56" s="62" t="s">
        <v>510</v>
      </c>
      <c r="S56" s="62">
        <v>10.19</v>
      </c>
      <c r="T56" s="62">
        <v>0.2</v>
      </c>
      <c r="U56" s="63" t="s">
        <v>157</v>
      </c>
    </row>
    <row r="57" spans="1:21" s="3" customFormat="1" ht="18" customHeight="1">
      <c r="A57" s="164">
        <v>55</v>
      </c>
      <c r="B57" s="362" t="s">
        <v>158</v>
      </c>
      <c r="C57" s="26" t="s">
        <v>159</v>
      </c>
      <c r="D57" s="16" t="s">
        <v>511</v>
      </c>
      <c r="E57" s="22" t="s">
        <v>164</v>
      </c>
      <c r="F57" s="19" t="s">
        <v>41</v>
      </c>
      <c r="G57" s="27" t="s">
        <v>487</v>
      </c>
      <c r="H57" s="19" t="s">
        <v>41</v>
      </c>
      <c r="I57" s="44" t="s">
        <v>484</v>
      </c>
      <c r="J57" s="25">
        <v>30</v>
      </c>
      <c r="K57" s="350">
        <f>L57-1.5</f>
        <v>12.5</v>
      </c>
      <c r="L57" s="350">
        <v>14</v>
      </c>
      <c r="M57" s="339">
        <v>1</v>
      </c>
      <c r="N57" s="37">
        <v>0.8</v>
      </c>
      <c r="O57" s="37">
        <f t="shared" si="0"/>
        <v>24</v>
      </c>
      <c r="P57" s="58">
        <v>9506919000</v>
      </c>
      <c r="Q57" s="55">
        <v>2.7E-2</v>
      </c>
      <c r="R57" s="62" t="s">
        <v>512</v>
      </c>
      <c r="S57" s="62">
        <v>8.8800000000000008</v>
      </c>
      <c r="T57" s="62">
        <v>3.2000000000000001E-2</v>
      </c>
      <c r="U57" s="63" t="s">
        <v>161</v>
      </c>
    </row>
    <row r="58" spans="1:21" s="3" customFormat="1" ht="18" customHeight="1">
      <c r="A58" s="164">
        <v>56</v>
      </c>
      <c r="B58" s="363"/>
      <c r="C58" s="26" t="s">
        <v>91</v>
      </c>
      <c r="D58" s="16" t="s">
        <v>471</v>
      </c>
      <c r="E58" s="22" t="s">
        <v>92</v>
      </c>
      <c r="F58" s="19" t="s">
        <v>41</v>
      </c>
      <c r="G58" s="25" t="s">
        <v>93</v>
      </c>
      <c r="H58" s="19" t="s">
        <v>41</v>
      </c>
      <c r="I58" s="44" t="s">
        <v>472</v>
      </c>
      <c r="J58" s="25">
        <v>29</v>
      </c>
      <c r="K58" s="351"/>
      <c r="L58" s="351"/>
      <c r="M58" s="339"/>
      <c r="N58" s="37">
        <v>0.8</v>
      </c>
      <c r="O58" s="37">
        <f t="shared" si="0"/>
        <v>23.200000000000003</v>
      </c>
      <c r="P58" s="58">
        <v>9506999000</v>
      </c>
      <c r="Q58" s="55">
        <v>2.7E-2</v>
      </c>
      <c r="R58" s="62" t="s">
        <v>473</v>
      </c>
      <c r="S58" s="62">
        <v>14.59</v>
      </c>
      <c r="T58" s="62">
        <v>0.66</v>
      </c>
      <c r="U58" s="25" t="s">
        <v>162</v>
      </c>
    </row>
    <row r="59" spans="1:21" s="3" customFormat="1" ht="18" customHeight="1">
      <c r="A59" s="164">
        <v>57</v>
      </c>
      <c r="B59" s="363"/>
      <c r="C59" s="26" t="s">
        <v>163</v>
      </c>
      <c r="D59" s="16" t="s">
        <v>513</v>
      </c>
      <c r="E59" s="22" t="s">
        <v>514</v>
      </c>
      <c r="F59" s="19" t="s">
        <v>41</v>
      </c>
      <c r="G59" s="27" t="s">
        <v>515</v>
      </c>
      <c r="H59" s="19" t="s">
        <v>41</v>
      </c>
      <c r="I59" s="44" t="s">
        <v>484</v>
      </c>
      <c r="J59" s="25">
        <v>30</v>
      </c>
      <c r="K59" s="351"/>
      <c r="L59" s="351"/>
      <c r="M59" s="339"/>
      <c r="N59" s="37">
        <v>0.8</v>
      </c>
      <c r="O59" s="37">
        <f t="shared" si="0"/>
        <v>24</v>
      </c>
      <c r="P59" s="58">
        <v>9506919000</v>
      </c>
      <c r="Q59" s="55">
        <v>2.7E-2</v>
      </c>
      <c r="R59" s="62" t="s">
        <v>516</v>
      </c>
      <c r="S59" s="62">
        <v>6.99</v>
      </c>
      <c r="T59" s="62">
        <v>8.2000000000000003E-2</v>
      </c>
      <c r="U59" s="63" t="s">
        <v>166</v>
      </c>
    </row>
    <row r="60" spans="1:21" s="3" customFormat="1" ht="18" customHeight="1">
      <c r="A60" s="164">
        <v>58</v>
      </c>
      <c r="B60" s="168" t="s">
        <v>167</v>
      </c>
      <c r="C60" s="26" t="s">
        <v>124</v>
      </c>
      <c r="D60" s="16" t="s">
        <v>493</v>
      </c>
      <c r="E60" s="22" t="s">
        <v>125</v>
      </c>
      <c r="F60" s="19" t="s">
        <v>41</v>
      </c>
      <c r="G60" s="27" t="s">
        <v>517</v>
      </c>
      <c r="H60" s="19" t="s">
        <v>41</v>
      </c>
      <c r="I60" s="44" t="s">
        <v>484</v>
      </c>
      <c r="J60" s="25">
        <v>15</v>
      </c>
      <c r="K60" s="154">
        <f>L60-1.5</f>
        <v>12.85</v>
      </c>
      <c r="L60" s="154">
        <v>14.35</v>
      </c>
      <c r="M60" s="26">
        <v>1</v>
      </c>
      <c r="N60" s="37">
        <v>0.8</v>
      </c>
      <c r="O60" s="37">
        <f t="shared" si="0"/>
        <v>12</v>
      </c>
      <c r="P60" s="58">
        <v>6304990099</v>
      </c>
      <c r="Q60" s="55">
        <v>0.12</v>
      </c>
      <c r="R60" s="54" t="s">
        <v>495</v>
      </c>
      <c r="S60" s="54">
        <v>14.98</v>
      </c>
      <c r="T60" s="54">
        <v>0.54</v>
      </c>
      <c r="U60" s="25" t="s">
        <v>127</v>
      </c>
    </row>
    <row r="61" spans="1:21" s="3" customFormat="1" ht="18" customHeight="1">
      <c r="A61" s="164">
        <v>59</v>
      </c>
      <c r="B61" s="168" t="s">
        <v>169</v>
      </c>
      <c r="C61" s="26" t="s">
        <v>124</v>
      </c>
      <c r="D61" s="16" t="s">
        <v>493</v>
      </c>
      <c r="E61" s="22" t="s">
        <v>125</v>
      </c>
      <c r="F61" s="19" t="s">
        <v>41</v>
      </c>
      <c r="G61" s="27" t="s">
        <v>517</v>
      </c>
      <c r="H61" s="19" t="s">
        <v>41</v>
      </c>
      <c r="I61" s="44" t="s">
        <v>484</v>
      </c>
      <c r="J61" s="25">
        <v>15</v>
      </c>
      <c r="K61" s="154">
        <f>L61-1.5</f>
        <v>12.75</v>
      </c>
      <c r="L61" s="154">
        <v>14.25</v>
      </c>
      <c r="M61" s="26">
        <v>1</v>
      </c>
      <c r="N61" s="37">
        <v>0.8</v>
      </c>
      <c r="O61" s="37">
        <f t="shared" si="0"/>
        <v>12</v>
      </c>
      <c r="P61" s="58">
        <v>6304990099</v>
      </c>
      <c r="Q61" s="55">
        <v>0.12</v>
      </c>
      <c r="R61" s="54" t="s">
        <v>495</v>
      </c>
      <c r="S61" s="54">
        <v>14.98</v>
      </c>
      <c r="T61" s="54">
        <v>0.54</v>
      </c>
      <c r="U61" s="25" t="s">
        <v>127</v>
      </c>
    </row>
    <row r="62" spans="1:21" s="3" customFormat="1" ht="18" customHeight="1">
      <c r="A62" s="164">
        <v>60</v>
      </c>
      <c r="B62" s="168" t="s">
        <v>170</v>
      </c>
      <c r="C62" s="26" t="s">
        <v>124</v>
      </c>
      <c r="D62" s="16" t="s">
        <v>493</v>
      </c>
      <c r="E62" s="18" t="s">
        <v>125</v>
      </c>
      <c r="F62" s="19" t="s">
        <v>41</v>
      </c>
      <c r="G62" s="27" t="s">
        <v>518</v>
      </c>
      <c r="H62" s="19" t="s">
        <v>41</v>
      </c>
      <c r="I62" s="44" t="s">
        <v>484</v>
      </c>
      <c r="J62" s="25">
        <v>22</v>
      </c>
      <c r="K62" s="154">
        <f>L62-1.5</f>
        <v>16.149999999999999</v>
      </c>
      <c r="L62" s="154">
        <v>17.649999999999999</v>
      </c>
      <c r="M62" s="26">
        <v>1</v>
      </c>
      <c r="N62" s="37">
        <v>0.8</v>
      </c>
      <c r="O62" s="37">
        <f t="shared" si="0"/>
        <v>17.600000000000001</v>
      </c>
      <c r="P62" s="58">
        <v>6304990099</v>
      </c>
      <c r="Q62" s="55">
        <v>0.12</v>
      </c>
      <c r="R62" s="54" t="s">
        <v>495</v>
      </c>
      <c r="S62" s="54">
        <v>14.98</v>
      </c>
      <c r="T62" s="54">
        <v>0.54</v>
      </c>
      <c r="U62" s="25" t="s">
        <v>127</v>
      </c>
    </row>
    <row r="63" spans="1:21" s="3" customFormat="1" ht="18" customHeight="1">
      <c r="A63" s="164">
        <v>61</v>
      </c>
      <c r="B63" s="168" t="s">
        <v>172</v>
      </c>
      <c r="C63" s="26" t="s">
        <v>124</v>
      </c>
      <c r="D63" s="16" t="s">
        <v>493</v>
      </c>
      <c r="E63" s="22" t="s">
        <v>125</v>
      </c>
      <c r="F63" s="19" t="s">
        <v>41</v>
      </c>
      <c r="G63" s="27" t="s">
        <v>518</v>
      </c>
      <c r="H63" s="19" t="s">
        <v>41</v>
      </c>
      <c r="I63" s="44" t="s">
        <v>484</v>
      </c>
      <c r="J63" s="25">
        <v>22</v>
      </c>
      <c r="K63" s="154">
        <f>L63-1.5</f>
        <v>11.4</v>
      </c>
      <c r="L63" s="154">
        <v>12.9</v>
      </c>
      <c r="M63" s="26">
        <v>1</v>
      </c>
      <c r="N63" s="37">
        <v>0.8</v>
      </c>
      <c r="O63" s="37">
        <f t="shared" si="0"/>
        <v>17.600000000000001</v>
      </c>
      <c r="P63" s="58">
        <v>6304990099</v>
      </c>
      <c r="Q63" s="55">
        <v>0.12</v>
      </c>
      <c r="R63" s="54" t="s">
        <v>495</v>
      </c>
      <c r="S63" s="54">
        <v>14.98</v>
      </c>
      <c r="T63" s="54">
        <v>0.54</v>
      </c>
      <c r="U63" s="25" t="s">
        <v>127</v>
      </c>
    </row>
    <row r="64" spans="1:21" s="3" customFormat="1" ht="18" customHeight="1">
      <c r="A64" s="164">
        <v>62</v>
      </c>
      <c r="B64" s="362" t="s">
        <v>173</v>
      </c>
      <c r="C64" s="26" t="s">
        <v>174</v>
      </c>
      <c r="D64" s="28" t="s">
        <v>482</v>
      </c>
      <c r="E64" s="29" t="s">
        <v>483</v>
      </c>
      <c r="F64" s="19" t="s">
        <v>41</v>
      </c>
      <c r="G64" s="27" t="s">
        <v>487</v>
      </c>
      <c r="H64" s="19" t="s">
        <v>41</v>
      </c>
      <c r="I64" s="44" t="s">
        <v>484</v>
      </c>
      <c r="J64" s="25">
        <v>30</v>
      </c>
      <c r="K64" s="350">
        <f>L64-1.5</f>
        <v>9.25</v>
      </c>
      <c r="L64" s="350">
        <v>10.75</v>
      </c>
      <c r="M64" s="339">
        <v>1</v>
      </c>
      <c r="N64" s="37">
        <v>0.8</v>
      </c>
      <c r="O64" s="37">
        <f t="shared" si="0"/>
        <v>24</v>
      </c>
      <c r="P64" s="58">
        <v>9021109000</v>
      </c>
      <c r="Q64" s="55">
        <v>0</v>
      </c>
      <c r="R64" s="62" t="s">
        <v>519</v>
      </c>
      <c r="S64" s="62">
        <v>8.99</v>
      </c>
      <c r="T64" s="62">
        <v>0.04</v>
      </c>
      <c r="U64" s="63" t="s">
        <v>176</v>
      </c>
    </row>
    <row r="65" spans="1:21" s="3" customFormat="1" ht="18" customHeight="1">
      <c r="A65" s="164">
        <v>63</v>
      </c>
      <c r="B65" s="363"/>
      <c r="C65" s="26" t="s">
        <v>177</v>
      </c>
      <c r="D65" s="65" t="s">
        <v>520</v>
      </c>
      <c r="E65" s="66" t="s">
        <v>521</v>
      </c>
      <c r="F65" s="19" t="s">
        <v>41</v>
      </c>
      <c r="G65" s="27" t="s">
        <v>475</v>
      </c>
      <c r="H65" s="19" t="s">
        <v>41</v>
      </c>
      <c r="I65" s="44" t="s">
        <v>472</v>
      </c>
      <c r="J65" s="25">
        <v>2</v>
      </c>
      <c r="K65" s="351"/>
      <c r="L65" s="351"/>
      <c r="M65" s="339"/>
      <c r="N65" s="37">
        <v>0.8</v>
      </c>
      <c r="O65" s="37">
        <f t="shared" si="0"/>
        <v>1.6</v>
      </c>
      <c r="P65" s="58">
        <v>3926909790</v>
      </c>
      <c r="Q65" s="55">
        <v>6.5000000000000002E-2</v>
      </c>
      <c r="R65" s="62" t="s">
        <v>522</v>
      </c>
      <c r="S65" s="62">
        <v>21.99</v>
      </c>
      <c r="T65" s="62">
        <v>0.15</v>
      </c>
      <c r="U65" s="63" t="s">
        <v>179</v>
      </c>
    </row>
    <row r="66" spans="1:21" s="3" customFormat="1" ht="18" customHeight="1">
      <c r="A66" s="164">
        <v>64</v>
      </c>
      <c r="B66" s="363"/>
      <c r="C66" s="26" t="s">
        <v>180</v>
      </c>
      <c r="D66" s="169" t="s">
        <v>523</v>
      </c>
      <c r="E66" s="22" t="s">
        <v>181</v>
      </c>
      <c r="F66" s="19" t="s">
        <v>41</v>
      </c>
      <c r="G66" s="27" t="s">
        <v>524</v>
      </c>
      <c r="H66" s="19" t="s">
        <v>41</v>
      </c>
      <c r="I66" s="44" t="s">
        <v>484</v>
      </c>
      <c r="J66" s="25">
        <v>30</v>
      </c>
      <c r="K66" s="351"/>
      <c r="L66" s="351"/>
      <c r="M66" s="339"/>
      <c r="N66" s="37">
        <v>0.8</v>
      </c>
      <c r="O66" s="37">
        <f t="shared" si="0"/>
        <v>24</v>
      </c>
      <c r="P66" s="58">
        <v>9021109000</v>
      </c>
      <c r="Q66" s="55">
        <v>0</v>
      </c>
      <c r="R66" s="62" t="s">
        <v>525</v>
      </c>
      <c r="S66" s="62">
        <v>12.99</v>
      </c>
      <c r="T66" s="62">
        <v>0.1</v>
      </c>
      <c r="U66" s="63" t="s">
        <v>183</v>
      </c>
    </row>
    <row r="67" spans="1:21" s="3" customFormat="1" ht="18" customHeight="1">
      <c r="A67" s="164">
        <v>65</v>
      </c>
      <c r="B67" s="168" t="s">
        <v>184</v>
      </c>
      <c r="C67" s="26" t="s">
        <v>177</v>
      </c>
      <c r="D67" s="65" t="s">
        <v>520</v>
      </c>
      <c r="E67" s="66" t="s">
        <v>521</v>
      </c>
      <c r="F67" s="19" t="s">
        <v>41</v>
      </c>
      <c r="G67" s="27" t="s">
        <v>475</v>
      </c>
      <c r="H67" s="19" t="s">
        <v>41</v>
      </c>
      <c r="I67" s="44" t="s">
        <v>472</v>
      </c>
      <c r="J67" s="25">
        <v>28</v>
      </c>
      <c r="K67" s="154">
        <f>L67-1.5</f>
        <v>17.05</v>
      </c>
      <c r="L67" s="154">
        <v>18.55</v>
      </c>
      <c r="M67" s="26">
        <v>1</v>
      </c>
      <c r="N67" s="37">
        <v>0.8</v>
      </c>
      <c r="O67" s="37">
        <f t="shared" ref="O67:O130" si="2">N67*J67</f>
        <v>22.400000000000002</v>
      </c>
      <c r="P67" s="58">
        <v>3926909790</v>
      </c>
      <c r="Q67" s="55">
        <v>6.5000000000000002E-2</v>
      </c>
      <c r="R67" s="62" t="s">
        <v>522</v>
      </c>
      <c r="S67" s="62">
        <v>21.99</v>
      </c>
      <c r="T67" s="62">
        <v>0.15</v>
      </c>
      <c r="U67" s="25" t="s">
        <v>179</v>
      </c>
    </row>
    <row r="68" spans="1:21" s="3" customFormat="1" ht="18" customHeight="1">
      <c r="A68" s="164">
        <v>66</v>
      </c>
      <c r="B68" s="362" t="s">
        <v>185</v>
      </c>
      <c r="C68" s="26" t="s">
        <v>124</v>
      </c>
      <c r="D68" s="16" t="s">
        <v>493</v>
      </c>
      <c r="E68" s="22" t="s">
        <v>125</v>
      </c>
      <c r="F68" s="19" t="s">
        <v>41</v>
      </c>
      <c r="G68" s="27" t="s">
        <v>518</v>
      </c>
      <c r="H68" s="19" t="s">
        <v>41</v>
      </c>
      <c r="I68" s="44" t="s">
        <v>484</v>
      </c>
      <c r="J68" s="25">
        <v>8</v>
      </c>
      <c r="K68" s="350">
        <f>L68-1.5</f>
        <v>11.9</v>
      </c>
      <c r="L68" s="350">
        <v>13.4</v>
      </c>
      <c r="M68" s="339">
        <v>1</v>
      </c>
      <c r="N68" s="37">
        <v>0.8</v>
      </c>
      <c r="O68" s="37">
        <f t="shared" si="2"/>
        <v>6.4</v>
      </c>
      <c r="P68" s="58">
        <v>6304990099</v>
      </c>
      <c r="Q68" s="55">
        <v>0.12</v>
      </c>
      <c r="R68" s="54" t="s">
        <v>495</v>
      </c>
      <c r="S68" s="54">
        <v>14.98</v>
      </c>
      <c r="T68" s="54">
        <v>0.54</v>
      </c>
      <c r="U68" s="25" t="s">
        <v>127</v>
      </c>
    </row>
    <row r="69" spans="1:21" s="3" customFormat="1" ht="18" customHeight="1">
      <c r="A69" s="164">
        <v>67</v>
      </c>
      <c r="B69" s="363"/>
      <c r="C69" s="26" t="s">
        <v>186</v>
      </c>
      <c r="D69" s="16" t="s">
        <v>526</v>
      </c>
      <c r="E69" s="22" t="s">
        <v>187</v>
      </c>
      <c r="F69" s="19" t="s">
        <v>41</v>
      </c>
      <c r="G69" s="27" t="s">
        <v>527</v>
      </c>
      <c r="H69" s="19" t="s">
        <v>41</v>
      </c>
      <c r="I69" s="44" t="s">
        <v>528</v>
      </c>
      <c r="J69" s="25">
        <v>30</v>
      </c>
      <c r="K69" s="351"/>
      <c r="L69" s="351"/>
      <c r="M69" s="339"/>
      <c r="N69" s="37">
        <v>0.8</v>
      </c>
      <c r="O69" s="37">
        <f t="shared" si="2"/>
        <v>24</v>
      </c>
      <c r="P69" s="58">
        <v>6307909899</v>
      </c>
      <c r="Q69" s="55">
        <v>6.3E-2</v>
      </c>
      <c r="R69" s="62" t="s">
        <v>529</v>
      </c>
      <c r="S69" s="62">
        <v>5.67</v>
      </c>
      <c r="T69" s="62">
        <v>0.1</v>
      </c>
      <c r="U69" s="88" t="s">
        <v>190</v>
      </c>
    </row>
    <row r="70" spans="1:21" s="3" customFormat="1" ht="18" customHeight="1">
      <c r="A70" s="164">
        <v>68</v>
      </c>
      <c r="B70" s="363"/>
      <c r="C70" s="26" t="s">
        <v>151</v>
      </c>
      <c r="D70" s="16" t="s">
        <v>508</v>
      </c>
      <c r="E70" s="22" t="s">
        <v>152</v>
      </c>
      <c r="F70" s="19" t="s">
        <v>41</v>
      </c>
      <c r="G70" s="27" t="s">
        <v>515</v>
      </c>
      <c r="H70" s="19" t="s">
        <v>41</v>
      </c>
      <c r="I70" s="44" t="s">
        <v>484</v>
      </c>
      <c r="J70" s="25">
        <v>30</v>
      </c>
      <c r="K70" s="351"/>
      <c r="L70" s="351"/>
      <c r="M70" s="339"/>
      <c r="N70" s="37">
        <v>0.8</v>
      </c>
      <c r="O70" s="37">
        <f t="shared" si="2"/>
        <v>24</v>
      </c>
      <c r="P70" s="58">
        <v>9021109000</v>
      </c>
      <c r="Q70" s="55">
        <v>0</v>
      </c>
      <c r="R70" s="62" t="s">
        <v>509</v>
      </c>
      <c r="S70" s="62">
        <v>13.66</v>
      </c>
      <c r="T70" s="62">
        <v>0.15</v>
      </c>
      <c r="U70" s="25" t="s">
        <v>191</v>
      </c>
    </row>
    <row r="71" spans="1:21" s="3" customFormat="1" ht="18" customHeight="1">
      <c r="A71" s="164">
        <v>69</v>
      </c>
      <c r="B71" s="168" t="s">
        <v>192</v>
      </c>
      <c r="C71" s="26" t="s">
        <v>124</v>
      </c>
      <c r="D71" s="16" t="s">
        <v>493</v>
      </c>
      <c r="E71" s="22" t="s">
        <v>125</v>
      </c>
      <c r="F71" s="19" t="s">
        <v>41</v>
      </c>
      <c r="G71" s="27" t="s">
        <v>518</v>
      </c>
      <c r="H71" s="19" t="s">
        <v>41</v>
      </c>
      <c r="I71" s="44" t="s">
        <v>484</v>
      </c>
      <c r="J71" s="25">
        <v>15</v>
      </c>
      <c r="K71" s="154">
        <f>L71-1.5</f>
        <v>13.1</v>
      </c>
      <c r="L71" s="154">
        <v>14.6</v>
      </c>
      <c r="M71" s="26">
        <v>1</v>
      </c>
      <c r="N71" s="37">
        <v>0.8</v>
      </c>
      <c r="O71" s="37">
        <f t="shared" si="2"/>
        <v>12</v>
      </c>
      <c r="P71" s="58">
        <v>6304990099</v>
      </c>
      <c r="Q71" s="55">
        <v>0.12</v>
      </c>
      <c r="R71" s="54" t="s">
        <v>530</v>
      </c>
      <c r="S71" s="54">
        <v>24.99</v>
      </c>
      <c r="T71" s="54">
        <v>0.86</v>
      </c>
      <c r="U71" s="64" t="s">
        <v>193</v>
      </c>
    </row>
    <row r="72" spans="1:21" s="3" customFormat="1" ht="18" customHeight="1">
      <c r="A72" s="164">
        <v>70</v>
      </c>
      <c r="B72" s="168" t="s">
        <v>194</v>
      </c>
      <c r="C72" s="26" t="s">
        <v>124</v>
      </c>
      <c r="D72" s="16" t="s">
        <v>493</v>
      </c>
      <c r="E72" s="22" t="s">
        <v>125</v>
      </c>
      <c r="F72" s="19" t="s">
        <v>41</v>
      </c>
      <c r="G72" s="27" t="s">
        <v>518</v>
      </c>
      <c r="H72" s="19" t="s">
        <v>41</v>
      </c>
      <c r="I72" s="44" t="s">
        <v>484</v>
      </c>
      <c r="J72" s="25">
        <v>15</v>
      </c>
      <c r="K72" s="154">
        <f>L72-1.5</f>
        <v>13.45</v>
      </c>
      <c r="L72" s="154">
        <v>14.95</v>
      </c>
      <c r="M72" s="26">
        <v>1</v>
      </c>
      <c r="N72" s="37">
        <v>0.8</v>
      </c>
      <c r="O72" s="37">
        <f t="shared" si="2"/>
        <v>12</v>
      </c>
      <c r="P72" s="58">
        <v>6304990099</v>
      </c>
      <c r="Q72" s="55">
        <v>0.12</v>
      </c>
      <c r="R72" s="54" t="s">
        <v>530</v>
      </c>
      <c r="S72" s="54">
        <v>24.99</v>
      </c>
      <c r="T72" s="54">
        <v>0.86</v>
      </c>
      <c r="U72" s="25" t="s">
        <v>193</v>
      </c>
    </row>
    <row r="73" spans="1:21" s="3" customFormat="1" ht="18" customHeight="1">
      <c r="A73" s="164">
        <v>71</v>
      </c>
      <c r="B73" s="362" t="s">
        <v>195</v>
      </c>
      <c r="C73" s="26" t="s">
        <v>124</v>
      </c>
      <c r="D73" s="16" t="s">
        <v>493</v>
      </c>
      <c r="E73" s="22" t="s">
        <v>125</v>
      </c>
      <c r="F73" s="19" t="s">
        <v>41</v>
      </c>
      <c r="G73" s="27" t="s">
        <v>518</v>
      </c>
      <c r="H73" s="19" t="s">
        <v>41</v>
      </c>
      <c r="I73" s="44" t="s">
        <v>484</v>
      </c>
      <c r="J73" s="25">
        <v>8</v>
      </c>
      <c r="K73" s="350">
        <f>L73-1.5</f>
        <v>11.6</v>
      </c>
      <c r="L73" s="350">
        <v>13.1</v>
      </c>
      <c r="M73" s="339">
        <v>1</v>
      </c>
      <c r="N73" s="37">
        <v>0.8</v>
      </c>
      <c r="O73" s="37">
        <f t="shared" si="2"/>
        <v>6.4</v>
      </c>
      <c r="P73" s="58">
        <v>6304990099</v>
      </c>
      <c r="Q73" s="55">
        <v>0.12</v>
      </c>
      <c r="R73" s="54" t="s">
        <v>495</v>
      </c>
      <c r="S73" s="54">
        <v>14.98</v>
      </c>
      <c r="T73" s="54">
        <v>0.54</v>
      </c>
      <c r="U73" s="25" t="s">
        <v>127</v>
      </c>
    </row>
    <row r="74" spans="1:21" s="3" customFormat="1" ht="18" customHeight="1">
      <c r="A74" s="164">
        <v>72</v>
      </c>
      <c r="B74" s="363"/>
      <c r="C74" s="26" t="s">
        <v>196</v>
      </c>
      <c r="D74" s="16" t="s">
        <v>531</v>
      </c>
      <c r="E74" s="22" t="s">
        <v>197</v>
      </c>
      <c r="F74" s="19" t="s">
        <v>41</v>
      </c>
      <c r="G74" s="25" t="s">
        <v>198</v>
      </c>
      <c r="H74" s="19" t="s">
        <v>41</v>
      </c>
      <c r="I74" s="44" t="s">
        <v>532</v>
      </c>
      <c r="J74" s="25">
        <v>30</v>
      </c>
      <c r="K74" s="351"/>
      <c r="L74" s="351"/>
      <c r="M74" s="339"/>
      <c r="N74" s="37">
        <v>0.8</v>
      </c>
      <c r="O74" s="37">
        <f t="shared" si="2"/>
        <v>24</v>
      </c>
      <c r="P74" s="58">
        <v>8543709099</v>
      </c>
      <c r="Q74" s="55">
        <v>3.6999999999999998E-2</v>
      </c>
      <c r="R74" s="62" t="s">
        <v>533</v>
      </c>
      <c r="S74" s="62"/>
      <c r="T74" s="62">
        <v>0.32</v>
      </c>
      <c r="U74" s="63" t="s">
        <v>200</v>
      </c>
    </row>
    <row r="75" spans="1:21" s="3" customFormat="1" ht="18" customHeight="1">
      <c r="A75" s="164">
        <v>73</v>
      </c>
      <c r="B75" s="340" t="s">
        <v>534</v>
      </c>
      <c r="C75" s="26" t="s">
        <v>202</v>
      </c>
      <c r="D75" s="16" t="s">
        <v>535</v>
      </c>
      <c r="E75" s="22" t="s">
        <v>203</v>
      </c>
      <c r="F75" s="19" t="s">
        <v>41</v>
      </c>
      <c r="G75" s="68" t="s">
        <v>536</v>
      </c>
      <c r="H75" s="19" t="s">
        <v>41</v>
      </c>
      <c r="I75" s="81" t="s">
        <v>472</v>
      </c>
      <c r="J75" s="26">
        <v>4</v>
      </c>
      <c r="K75" s="342">
        <f>L75-1.5</f>
        <v>10.9</v>
      </c>
      <c r="L75" s="342">
        <v>12.4</v>
      </c>
      <c r="M75" s="339">
        <v>1</v>
      </c>
      <c r="N75" s="37">
        <v>2.1</v>
      </c>
      <c r="O75" s="37">
        <f t="shared" si="2"/>
        <v>8.4</v>
      </c>
      <c r="P75" s="58">
        <v>8714993000</v>
      </c>
      <c r="Q75" s="55">
        <v>4.7E-2</v>
      </c>
      <c r="R75" s="89" t="s">
        <v>537</v>
      </c>
      <c r="S75" s="89">
        <v>39.99</v>
      </c>
      <c r="T75" s="89">
        <v>1.23</v>
      </c>
      <c r="U75" s="90" t="s">
        <v>205</v>
      </c>
    </row>
    <row r="76" spans="1:21" s="3" customFormat="1" ht="18" customHeight="1">
      <c r="A76" s="164">
        <v>74</v>
      </c>
      <c r="B76" s="340"/>
      <c r="C76" s="26" t="s">
        <v>206</v>
      </c>
      <c r="D76" s="148" t="s">
        <v>538</v>
      </c>
      <c r="E76" s="149" t="s">
        <v>539</v>
      </c>
      <c r="F76" s="19" t="s">
        <v>41</v>
      </c>
      <c r="G76" s="68" t="s">
        <v>540</v>
      </c>
      <c r="H76" s="19" t="s">
        <v>41</v>
      </c>
      <c r="I76" s="81" t="s">
        <v>541</v>
      </c>
      <c r="J76" s="26">
        <v>10</v>
      </c>
      <c r="K76" s="342"/>
      <c r="L76" s="342"/>
      <c r="M76" s="339"/>
      <c r="N76" s="37">
        <v>2.1</v>
      </c>
      <c r="O76" s="37">
        <f t="shared" si="2"/>
        <v>21</v>
      </c>
      <c r="P76" s="58">
        <v>8714949090</v>
      </c>
      <c r="Q76" s="55">
        <v>4.7E-2</v>
      </c>
      <c r="R76" s="91" t="s">
        <v>542</v>
      </c>
      <c r="S76" s="91">
        <v>19.989999999999998</v>
      </c>
      <c r="T76" s="91">
        <v>0.32</v>
      </c>
      <c r="U76" s="92" t="s">
        <v>210</v>
      </c>
    </row>
    <row r="77" spans="1:21" s="3" customFormat="1" ht="18" customHeight="1">
      <c r="A77" s="164">
        <v>75</v>
      </c>
      <c r="B77" s="340"/>
      <c r="C77" s="26" t="s">
        <v>206</v>
      </c>
      <c r="D77" s="148" t="s">
        <v>538</v>
      </c>
      <c r="E77" s="149" t="s">
        <v>539</v>
      </c>
      <c r="F77" s="19" t="s">
        <v>41</v>
      </c>
      <c r="G77" s="68" t="s">
        <v>543</v>
      </c>
      <c r="H77" s="19" t="s">
        <v>41</v>
      </c>
      <c r="I77" s="81" t="s">
        <v>544</v>
      </c>
      <c r="J77" s="26">
        <v>5</v>
      </c>
      <c r="K77" s="342"/>
      <c r="L77" s="342"/>
      <c r="M77" s="339"/>
      <c r="N77" s="37">
        <v>2.1</v>
      </c>
      <c r="O77" s="37">
        <f t="shared" si="2"/>
        <v>10.5</v>
      </c>
      <c r="P77" s="58">
        <v>8714949090</v>
      </c>
      <c r="Q77" s="55">
        <v>4.7E-2</v>
      </c>
      <c r="R77" s="91" t="s">
        <v>542</v>
      </c>
      <c r="S77" s="91">
        <v>19.989999999999998</v>
      </c>
      <c r="T77" s="91">
        <v>0.32</v>
      </c>
      <c r="U77" s="90" t="s">
        <v>213</v>
      </c>
    </row>
    <row r="78" spans="1:21" s="3" customFormat="1" ht="18" customHeight="1">
      <c r="A78" s="164">
        <v>76</v>
      </c>
      <c r="B78" s="340"/>
      <c r="C78" s="26" t="s">
        <v>214</v>
      </c>
      <c r="D78" s="16" t="s">
        <v>545</v>
      </c>
      <c r="E78" s="22" t="s">
        <v>215</v>
      </c>
      <c r="F78" s="19" t="s">
        <v>41</v>
      </c>
      <c r="G78" s="68" t="s">
        <v>543</v>
      </c>
      <c r="H78" s="19" t="s">
        <v>41</v>
      </c>
      <c r="I78" s="81" t="s">
        <v>546</v>
      </c>
      <c r="J78" s="26">
        <v>3</v>
      </c>
      <c r="K78" s="342"/>
      <c r="L78" s="342"/>
      <c r="M78" s="339"/>
      <c r="N78" s="37">
        <v>2.1</v>
      </c>
      <c r="O78" s="37">
        <f t="shared" si="2"/>
        <v>6.3000000000000007</v>
      </c>
      <c r="P78" s="58">
        <v>8714999089</v>
      </c>
      <c r="Q78" s="55">
        <v>4.7E-2</v>
      </c>
      <c r="R78" s="91" t="s">
        <v>547</v>
      </c>
      <c r="S78" s="91">
        <v>12.79</v>
      </c>
      <c r="T78" s="91">
        <v>0.12</v>
      </c>
      <c r="U78" s="92" t="s">
        <v>217</v>
      </c>
    </row>
    <row r="79" spans="1:21" s="3" customFormat="1" ht="18" customHeight="1">
      <c r="A79" s="164">
        <v>77</v>
      </c>
      <c r="B79" s="340" t="s">
        <v>548</v>
      </c>
      <c r="C79" s="69" t="s">
        <v>202</v>
      </c>
      <c r="D79" s="16" t="s">
        <v>535</v>
      </c>
      <c r="E79" s="22" t="s">
        <v>203</v>
      </c>
      <c r="F79" s="19" t="s">
        <v>41</v>
      </c>
      <c r="G79" s="70" t="s">
        <v>536</v>
      </c>
      <c r="H79" s="19" t="s">
        <v>41</v>
      </c>
      <c r="I79" s="82" t="s">
        <v>472</v>
      </c>
      <c r="J79" s="26">
        <v>4</v>
      </c>
      <c r="K79" s="342">
        <f>L79-1.5</f>
        <v>14.4</v>
      </c>
      <c r="L79" s="342">
        <v>15.9</v>
      </c>
      <c r="M79" s="339">
        <v>1</v>
      </c>
      <c r="N79" s="37">
        <v>2.1</v>
      </c>
      <c r="O79" s="37">
        <f t="shared" si="2"/>
        <v>8.4</v>
      </c>
      <c r="P79" s="58">
        <v>8714993000</v>
      </c>
      <c r="Q79" s="55">
        <v>4.7E-2</v>
      </c>
      <c r="R79" s="89" t="s">
        <v>537</v>
      </c>
      <c r="S79" s="89">
        <v>39.99</v>
      </c>
      <c r="T79" s="89">
        <v>1.23</v>
      </c>
      <c r="U79" s="92" t="s">
        <v>205</v>
      </c>
    </row>
    <row r="80" spans="1:21" s="3" customFormat="1" ht="18" customHeight="1">
      <c r="A80" s="164">
        <v>78</v>
      </c>
      <c r="B80" s="340"/>
      <c r="C80" s="69" t="s">
        <v>221</v>
      </c>
      <c r="D80" s="16" t="s">
        <v>549</v>
      </c>
      <c r="E80" s="22" t="s">
        <v>222</v>
      </c>
      <c r="F80" s="19" t="s">
        <v>41</v>
      </c>
      <c r="G80" s="70" t="s">
        <v>536</v>
      </c>
      <c r="H80" s="19" t="s">
        <v>41</v>
      </c>
      <c r="I80" s="82" t="s">
        <v>472</v>
      </c>
      <c r="J80" s="26">
        <v>5</v>
      </c>
      <c r="K80" s="342"/>
      <c r="L80" s="342"/>
      <c r="M80" s="339"/>
      <c r="N80" s="37">
        <v>2.1</v>
      </c>
      <c r="O80" s="37">
        <f t="shared" si="2"/>
        <v>10.5</v>
      </c>
      <c r="P80" s="58" t="s">
        <v>550</v>
      </c>
      <c r="Q80" s="55">
        <v>1.7000000000000001E-2</v>
      </c>
      <c r="R80" s="89" t="s">
        <v>551</v>
      </c>
      <c r="S80" s="89">
        <v>14.99</v>
      </c>
      <c r="T80" s="89">
        <v>0.43</v>
      </c>
      <c r="U80" s="92" t="s">
        <v>223</v>
      </c>
    </row>
    <row r="81" spans="1:21" s="3" customFormat="1" ht="18" customHeight="1">
      <c r="A81" s="164">
        <v>79</v>
      </c>
      <c r="B81" s="340"/>
      <c r="C81" s="69" t="s">
        <v>224</v>
      </c>
      <c r="D81" s="16" t="s">
        <v>552</v>
      </c>
      <c r="E81" s="22" t="s">
        <v>225</v>
      </c>
      <c r="F81" s="19" t="s">
        <v>41</v>
      </c>
      <c r="G81" s="70" t="s">
        <v>553</v>
      </c>
      <c r="H81" s="19" t="s">
        <v>41</v>
      </c>
      <c r="I81" s="82" t="s">
        <v>554</v>
      </c>
      <c r="J81" s="26">
        <v>5</v>
      </c>
      <c r="K81" s="342"/>
      <c r="L81" s="342"/>
      <c r="M81" s="339"/>
      <c r="N81" s="37">
        <v>2.1</v>
      </c>
      <c r="O81" s="37">
        <f t="shared" si="2"/>
        <v>10.5</v>
      </c>
      <c r="P81" s="58">
        <v>8708999790</v>
      </c>
      <c r="Q81" s="55">
        <v>3.6999999999999998E-2</v>
      </c>
      <c r="R81" s="89" t="s">
        <v>555</v>
      </c>
      <c r="S81" s="89">
        <v>23.99</v>
      </c>
      <c r="T81" s="89">
        <v>0.32</v>
      </c>
      <c r="U81" s="92" t="s">
        <v>228</v>
      </c>
    </row>
    <row r="82" spans="1:21" s="3" customFormat="1" ht="18" customHeight="1">
      <c r="A82" s="164">
        <v>80</v>
      </c>
      <c r="B82" s="340"/>
      <c r="C82" s="69" t="s">
        <v>229</v>
      </c>
      <c r="D82" s="16" t="s">
        <v>556</v>
      </c>
      <c r="E82" s="22" t="s">
        <v>230</v>
      </c>
      <c r="F82" s="19" t="s">
        <v>41</v>
      </c>
      <c r="G82" s="70" t="s">
        <v>557</v>
      </c>
      <c r="H82" s="19" t="s">
        <v>41</v>
      </c>
      <c r="I82" s="82" t="s">
        <v>558</v>
      </c>
      <c r="J82" s="26">
        <v>5</v>
      </c>
      <c r="K82" s="342"/>
      <c r="L82" s="342"/>
      <c r="M82" s="339"/>
      <c r="N82" s="37">
        <v>2.1</v>
      </c>
      <c r="O82" s="37">
        <f t="shared" si="2"/>
        <v>10.5</v>
      </c>
      <c r="P82" s="58" t="s">
        <v>559</v>
      </c>
      <c r="Q82" s="55">
        <v>3.5000000000000003E-2</v>
      </c>
      <c r="R82" s="89" t="s">
        <v>560</v>
      </c>
      <c r="S82" s="89"/>
      <c r="T82" s="89">
        <v>0.05</v>
      </c>
      <c r="U82" s="92" t="s">
        <v>233</v>
      </c>
    </row>
    <row r="83" spans="1:21" s="3" customFormat="1" ht="18" customHeight="1">
      <c r="A83" s="164">
        <v>81</v>
      </c>
      <c r="B83" s="340"/>
      <c r="C83" s="69" t="s">
        <v>214</v>
      </c>
      <c r="D83" s="16" t="s">
        <v>545</v>
      </c>
      <c r="E83" s="22" t="s">
        <v>215</v>
      </c>
      <c r="F83" s="19" t="s">
        <v>41</v>
      </c>
      <c r="G83" s="70" t="s">
        <v>543</v>
      </c>
      <c r="H83" s="19" t="s">
        <v>41</v>
      </c>
      <c r="I83" s="82" t="s">
        <v>546</v>
      </c>
      <c r="J83" s="26">
        <v>2</v>
      </c>
      <c r="K83" s="342"/>
      <c r="L83" s="342"/>
      <c r="M83" s="339"/>
      <c r="N83" s="37">
        <v>2.1</v>
      </c>
      <c r="O83" s="37">
        <f t="shared" si="2"/>
        <v>4.2</v>
      </c>
      <c r="P83" s="58">
        <v>8714999089</v>
      </c>
      <c r="Q83" s="55">
        <v>4.7E-2</v>
      </c>
      <c r="R83" s="91" t="s">
        <v>547</v>
      </c>
      <c r="S83" s="91">
        <v>12.79</v>
      </c>
      <c r="T83" s="91">
        <v>0.12</v>
      </c>
      <c r="U83" s="90" t="s">
        <v>217</v>
      </c>
    </row>
    <row r="84" spans="1:21" s="3" customFormat="1" ht="18" customHeight="1">
      <c r="A84" s="164">
        <v>82</v>
      </c>
      <c r="B84" s="340"/>
      <c r="C84" s="69" t="s">
        <v>236</v>
      </c>
      <c r="D84" s="16" t="s">
        <v>561</v>
      </c>
      <c r="E84" s="22" t="s">
        <v>562</v>
      </c>
      <c r="F84" s="19" t="s">
        <v>41</v>
      </c>
      <c r="G84" s="70" t="s">
        <v>543</v>
      </c>
      <c r="H84" s="19" t="s">
        <v>41</v>
      </c>
      <c r="I84" s="82" t="s">
        <v>472</v>
      </c>
      <c r="J84" s="26">
        <v>5</v>
      </c>
      <c r="K84" s="342"/>
      <c r="L84" s="342"/>
      <c r="M84" s="339"/>
      <c r="N84" s="37">
        <v>2.1</v>
      </c>
      <c r="O84" s="37">
        <f t="shared" si="2"/>
        <v>10.5</v>
      </c>
      <c r="P84" s="58">
        <v>8714949090</v>
      </c>
      <c r="Q84" s="55">
        <v>4.7E-2</v>
      </c>
      <c r="R84" s="93" t="s">
        <v>563</v>
      </c>
      <c r="S84" s="93">
        <v>34.39</v>
      </c>
      <c r="T84" s="89">
        <v>1</v>
      </c>
      <c r="U84" s="92" t="s">
        <v>238</v>
      </c>
    </row>
    <row r="85" spans="1:21" s="3" customFormat="1" ht="18" customHeight="1">
      <c r="A85" s="164">
        <v>83</v>
      </c>
      <c r="B85" s="353" t="s">
        <v>564</v>
      </c>
      <c r="C85" s="26" t="s">
        <v>240</v>
      </c>
      <c r="D85" s="16" t="s">
        <v>565</v>
      </c>
      <c r="E85" s="22" t="s">
        <v>241</v>
      </c>
      <c r="F85" s="19" t="s">
        <v>41</v>
      </c>
      <c r="G85" s="68" t="s">
        <v>566</v>
      </c>
      <c r="H85" s="19" t="s">
        <v>41</v>
      </c>
      <c r="I85" s="81" t="s">
        <v>472</v>
      </c>
      <c r="J85" s="26">
        <v>12</v>
      </c>
      <c r="K85" s="352">
        <f>L85-1.5</f>
        <v>21.9</v>
      </c>
      <c r="L85" s="352">
        <v>23.4</v>
      </c>
      <c r="M85" s="340">
        <v>1</v>
      </c>
      <c r="N85" s="37">
        <v>2.2000000000000002</v>
      </c>
      <c r="O85" s="37">
        <f t="shared" si="2"/>
        <v>26.400000000000002</v>
      </c>
      <c r="P85" s="58">
        <v>8539500000</v>
      </c>
      <c r="Q85" s="55">
        <v>3.6999999999999998E-2</v>
      </c>
      <c r="R85" s="94" t="s">
        <v>567</v>
      </c>
      <c r="S85" s="94">
        <v>27.99</v>
      </c>
      <c r="T85" s="95">
        <v>0.75</v>
      </c>
      <c r="U85" s="92" t="s">
        <v>243</v>
      </c>
    </row>
    <row r="86" spans="1:21" s="3" customFormat="1" ht="18" customHeight="1">
      <c r="A86" s="164">
        <v>84</v>
      </c>
      <c r="B86" s="353"/>
      <c r="C86" s="26" t="s">
        <v>244</v>
      </c>
      <c r="D86" s="16" t="s">
        <v>568</v>
      </c>
      <c r="E86" s="22" t="s">
        <v>245</v>
      </c>
      <c r="F86" s="19" t="s">
        <v>41</v>
      </c>
      <c r="G86" s="68" t="s">
        <v>499</v>
      </c>
      <c r="H86" s="19" t="s">
        <v>41</v>
      </c>
      <c r="I86" s="81" t="s">
        <v>472</v>
      </c>
      <c r="J86" s="26">
        <v>5</v>
      </c>
      <c r="K86" s="352"/>
      <c r="L86" s="352"/>
      <c r="M86" s="340"/>
      <c r="N86" s="37">
        <v>2.2000000000000002</v>
      </c>
      <c r="O86" s="37">
        <f t="shared" si="2"/>
        <v>11</v>
      </c>
      <c r="P86" s="58">
        <v>7616999099</v>
      </c>
      <c r="Q86" s="55">
        <v>0.06</v>
      </c>
      <c r="R86" s="94" t="s">
        <v>569</v>
      </c>
      <c r="S86" s="94">
        <v>19.34</v>
      </c>
      <c r="T86" s="95">
        <v>0.1</v>
      </c>
      <c r="U86" s="92" t="s">
        <v>246</v>
      </c>
    </row>
    <row r="87" spans="1:21" s="3" customFormat="1" ht="18" customHeight="1">
      <c r="A87" s="164">
        <v>85</v>
      </c>
      <c r="B87" s="353"/>
      <c r="C87" s="26" t="s">
        <v>247</v>
      </c>
      <c r="D87" s="71" t="s">
        <v>570</v>
      </c>
      <c r="E87" s="72" t="s">
        <v>571</v>
      </c>
      <c r="F87" s="19" t="s">
        <v>41</v>
      </c>
      <c r="G87" s="68" t="s">
        <v>572</v>
      </c>
      <c r="H87" s="19" t="s">
        <v>41</v>
      </c>
      <c r="I87" s="81" t="s">
        <v>573</v>
      </c>
      <c r="J87" s="26">
        <v>22</v>
      </c>
      <c r="K87" s="352"/>
      <c r="L87" s="352"/>
      <c r="M87" s="340"/>
      <c r="N87" s="37">
        <v>2.2000000000000002</v>
      </c>
      <c r="O87" s="37">
        <f t="shared" si="2"/>
        <v>48.400000000000006</v>
      </c>
      <c r="P87" s="58">
        <v>8708299090</v>
      </c>
      <c r="Q87" s="55">
        <v>4.4999999999999998E-2</v>
      </c>
      <c r="R87" s="94" t="s">
        <v>574</v>
      </c>
      <c r="S87" s="94">
        <v>8.99</v>
      </c>
      <c r="T87" s="95">
        <v>0.2</v>
      </c>
      <c r="U87" s="92" t="s">
        <v>251</v>
      </c>
    </row>
    <row r="88" spans="1:21" s="3" customFormat="1" ht="18" customHeight="1">
      <c r="A88" s="164">
        <v>86</v>
      </c>
      <c r="B88" s="353"/>
      <c r="C88" s="26" t="s">
        <v>252</v>
      </c>
      <c r="D88" s="16" t="s">
        <v>538</v>
      </c>
      <c r="E88" s="22" t="s">
        <v>253</v>
      </c>
      <c r="F88" s="19" t="s">
        <v>41</v>
      </c>
      <c r="G88" s="68" t="s">
        <v>543</v>
      </c>
      <c r="H88" s="19" t="s">
        <v>41</v>
      </c>
      <c r="I88" s="81" t="s">
        <v>575</v>
      </c>
      <c r="J88" s="26">
        <v>10</v>
      </c>
      <c r="K88" s="352"/>
      <c r="L88" s="352"/>
      <c r="M88" s="340"/>
      <c r="N88" s="37">
        <v>2.2000000000000002</v>
      </c>
      <c r="O88" s="37">
        <f t="shared" si="2"/>
        <v>22</v>
      </c>
      <c r="P88" s="58">
        <v>8714949090</v>
      </c>
      <c r="Q88" s="55">
        <v>4.7E-2</v>
      </c>
      <c r="R88" s="94" t="s">
        <v>576</v>
      </c>
      <c r="S88" s="94">
        <v>28.45</v>
      </c>
      <c r="T88" s="95">
        <v>0.66</v>
      </c>
      <c r="U88" s="92" t="s">
        <v>255</v>
      </c>
    </row>
    <row r="89" spans="1:21" s="3" customFormat="1" ht="18" customHeight="1">
      <c r="A89" s="164">
        <v>87</v>
      </c>
      <c r="B89" s="353"/>
      <c r="C89" s="170" t="s">
        <v>256</v>
      </c>
      <c r="D89" s="71" t="s">
        <v>570</v>
      </c>
      <c r="E89" s="72" t="s">
        <v>571</v>
      </c>
      <c r="F89" s="19" t="s">
        <v>41</v>
      </c>
      <c r="G89" s="170" t="s">
        <v>258</v>
      </c>
      <c r="H89" s="19" t="s">
        <v>41</v>
      </c>
      <c r="I89" s="83" t="s">
        <v>577</v>
      </c>
      <c r="J89" s="26">
        <v>3</v>
      </c>
      <c r="K89" s="352"/>
      <c r="L89" s="352"/>
      <c r="M89" s="340"/>
      <c r="N89" s="37">
        <v>2.2000000000000002</v>
      </c>
      <c r="O89" s="37">
        <f t="shared" si="2"/>
        <v>6.6000000000000005</v>
      </c>
      <c r="P89" s="58">
        <v>8708299090</v>
      </c>
      <c r="Q89" s="55">
        <v>4.4999999999999998E-2</v>
      </c>
      <c r="R89" s="94" t="s">
        <v>578</v>
      </c>
      <c r="S89" s="94">
        <v>8.99</v>
      </c>
      <c r="T89" s="95">
        <v>0.2</v>
      </c>
      <c r="U89" s="92" t="s">
        <v>260</v>
      </c>
    </row>
    <row r="90" spans="1:21" s="3" customFormat="1" ht="18" customHeight="1">
      <c r="A90" s="164">
        <v>88</v>
      </c>
      <c r="B90" s="353" t="s">
        <v>579</v>
      </c>
      <c r="C90" s="90" t="s">
        <v>262</v>
      </c>
      <c r="D90" s="16" t="s">
        <v>580</v>
      </c>
      <c r="E90" s="22" t="s">
        <v>263</v>
      </c>
      <c r="F90" s="19" t="s">
        <v>41</v>
      </c>
      <c r="G90" s="171" t="s">
        <v>499</v>
      </c>
      <c r="H90" s="19" t="s">
        <v>41</v>
      </c>
      <c r="I90" s="84" t="s">
        <v>581</v>
      </c>
      <c r="J90" s="26">
        <v>5</v>
      </c>
      <c r="K90" s="341">
        <f>L90-1.5</f>
        <v>20.9</v>
      </c>
      <c r="L90" s="341">
        <v>22.4</v>
      </c>
      <c r="M90" s="339">
        <v>1</v>
      </c>
      <c r="N90" s="37">
        <v>0.7</v>
      </c>
      <c r="O90" s="37">
        <f t="shared" si="2"/>
        <v>3.5</v>
      </c>
      <c r="P90" s="58">
        <v>8414208090</v>
      </c>
      <c r="Q90" s="55">
        <v>2.1999999999999999E-2</v>
      </c>
      <c r="R90" s="96" t="s">
        <v>582</v>
      </c>
      <c r="S90" s="96">
        <v>6.99</v>
      </c>
      <c r="T90" s="97">
        <v>0.27</v>
      </c>
      <c r="U90" s="98" t="s">
        <v>265</v>
      </c>
    </row>
    <row r="91" spans="1:21" s="3" customFormat="1" ht="18" customHeight="1">
      <c r="A91" s="164">
        <v>89</v>
      </c>
      <c r="B91" s="353"/>
      <c r="C91" s="90" t="s">
        <v>266</v>
      </c>
      <c r="D91" s="16" t="s">
        <v>583</v>
      </c>
      <c r="E91" s="22" t="s">
        <v>267</v>
      </c>
      <c r="F91" s="19" t="s">
        <v>41</v>
      </c>
      <c r="G91" s="171" t="s">
        <v>479</v>
      </c>
      <c r="H91" s="19" t="s">
        <v>41</v>
      </c>
      <c r="I91" s="84" t="s">
        <v>472</v>
      </c>
      <c r="J91" s="26">
        <v>10</v>
      </c>
      <c r="K91" s="341"/>
      <c r="L91" s="341"/>
      <c r="M91" s="339"/>
      <c r="N91" s="37">
        <v>0.7</v>
      </c>
      <c r="O91" s="37">
        <f t="shared" si="2"/>
        <v>7</v>
      </c>
      <c r="P91" s="58">
        <v>8714109090</v>
      </c>
      <c r="Q91" s="55">
        <v>3.6999999999999998E-2</v>
      </c>
      <c r="R91" s="96" t="s">
        <v>584</v>
      </c>
      <c r="S91" s="96">
        <v>13.99</v>
      </c>
      <c r="T91" s="97">
        <v>0.46</v>
      </c>
      <c r="U91" s="98" t="s">
        <v>268</v>
      </c>
    </row>
    <row r="92" spans="1:21" s="3" customFormat="1" ht="18" customHeight="1">
      <c r="A92" s="164">
        <v>90</v>
      </c>
      <c r="B92" s="340" t="s">
        <v>585</v>
      </c>
      <c r="C92" s="26" t="s">
        <v>270</v>
      </c>
      <c r="D92" s="16" t="s">
        <v>586</v>
      </c>
      <c r="E92" s="22" t="s">
        <v>587</v>
      </c>
      <c r="F92" s="19" t="s">
        <v>41</v>
      </c>
      <c r="G92" s="68" t="s">
        <v>475</v>
      </c>
      <c r="H92" s="19" t="s">
        <v>41</v>
      </c>
      <c r="I92" s="81" t="s">
        <v>476</v>
      </c>
      <c r="J92" s="26">
        <v>32</v>
      </c>
      <c r="K92" s="342">
        <f>L92-1.5</f>
        <v>12.8</v>
      </c>
      <c r="L92" s="342">
        <v>14.3</v>
      </c>
      <c r="M92" s="339">
        <v>1</v>
      </c>
      <c r="N92" s="37">
        <v>1.5</v>
      </c>
      <c r="O92" s="37">
        <f t="shared" si="2"/>
        <v>48</v>
      </c>
      <c r="P92" s="58">
        <v>3924900090</v>
      </c>
      <c r="Q92" s="55">
        <v>6.5000000000000002E-2</v>
      </c>
      <c r="R92" s="94" t="s">
        <v>588</v>
      </c>
      <c r="S92" s="94"/>
      <c r="T92" s="94">
        <v>0.42</v>
      </c>
      <c r="U92" s="99" t="s">
        <v>272</v>
      </c>
    </row>
    <row r="93" spans="1:21" s="3" customFormat="1" ht="18" customHeight="1">
      <c r="A93" s="164">
        <v>91</v>
      </c>
      <c r="B93" s="340"/>
      <c r="C93" s="26" t="s">
        <v>273</v>
      </c>
      <c r="D93" s="16" t="s">
        <v>589</v>
      </c>
      <c r="E93" s="22" t="s">
        <v>274</v>
      </c>
      <c r="F93" s="19" t="s">
        <v>41</v>
      </c>
      <c r="G93" s="68" t="s">
        <v>487</v>
      </c>
      <c r="H93" s="19" t="s">
        <v>41</v>
      </c>
      <c r="I93" s="81" t="s">
        <v>484</v>
      </c>
      <c r="J93" s="26">
        <v>15</v>
      </c>
      <c r="K93" s="342"/>
      <c r="L93" s="342"/>
      <c r="M93" s="339"/>
      <c r="N93" s="37">
        <v>1.5</v>
      </c>
      <c r="O93" s="37">
        <f t="shared" si="2"/>
        <v>22.5</v>
      </c>
      <c r="P93" s="58">
        <v>6307909810</v>
      </c>
      <c r="Q93" s="55">
        <v>6.3E-2</v>
      </c>
      <c r="R93" s="94" t="s">
        <v>590</v>
      </c>
      <c r="S93" s="94"/>
      <c r="T93" s="94">
        <v>0.16</v>
      </c>
      <c r="U93" s="99" t="s">
        <v>275</v>
      </c>
    </row>
    <row r="94" spans="1:21" s="3" customFormat="1" ht="18" customHeight="1">
      <c r="A94" s="164">
        <v>92</v>
      </c>
      <c r="B94" s="340" t="s">
        <v>591</v>
      </c>
      <c r="C94" s="26" t="s">
        <v>270</v>
      </c>
      <c r="D94" s="16" t="s">
        <v>592</v>
      </c>
      <c r="E94" s="22" t="s">
        <v>587</v>
      </c>
      <c r="F94" s="19" t="s">
        <v>41</v>
      </c>
      <c r="G94" s="68" t="s">
        <v>475</v>
      </c>
      <c r="H94" s="19" t="s">
        <v>41</v>
      </c>
      <c r="I94" s="81" t="s">
        <v>476</v>
      </c>
      <c r="J94" s="26">
        <v>3</v>
      </c>
      <c r="K94" s="342">
        <f>L94-1.5</f>
        <v>19.100000000000001</v>
      </c>
      <c r="L94" s="342">
        <v>20.6</v>
      </c>
      <c r="M94" s="339">
        <v>1</v>
      </c>
      <c r="N94" s="37">
        <v>1.5</v>
      </c>
      <c r="O94" s="37">
        <f t="shared" si="2"/>
        <v>4.5</v>
      </c>
      <c r="P94" s="58">
        <v>3924900090</v>
      </c>
      <c r="Q94" s="55">
        <v>6.5000000000000002E-2</v>
      </c>
      <c r="R94" s="94" t="s">
        <v>588</v>
      </c>
      <c r="S94" s="94"/>
      <c r="T94" s="94">
        <v>0.42</v>
      </c>
      <c r="U94" s="26" t="s">
        <v>272</v>
      </c>
    </row>
    <row r="95" spans="1:21" s="3" customFormat="1" ht="18" customHeight="1">
      <c r="A95" s="164">
        <v>93</v>
      </c>
      <c r="B95" s="340"/>
      <c r="C95" s="26" t="s">
        <v>277</v>
      </c>
      <c r="D95" s="16" t="s">
        <v>593</v>
      </c>
      <c r="E95" s="15" t="s">
        <v>594</v>
      </c>
      <c r="F95" s="19" t="s">
        <v>41</v>
      </c>
      <c r="G95" s="68" t="s">
        <v>595</v>
      </c>
      <c r="H95" s="19" t="s">
        <v>41</v>
      </c>
      <c r="I95" s="81" t="s">
        <v>596</v>
      </c>
      <c r="J95" s="26">
        <v>33</v>
      </c>
      <c r="K95" s="342"/>
      <c r="L95" s="342"/>
      <c r="M95" s="339"/>
      <c r="N95" s="37">
        <v>1.5</v>
      </c>
      <c r="O95" s="37">
        <f t="shared" si="2"/>
        <v>49.5</v>
      </c>
      <c r="P95" s="58">
        <v>8539500000</v>
      </c>
      <c r="Q95" s="55">
        <v>3.6999999999999998E-2</v>
      </c>
      <c r="R95" s="94" t="s">
        <v>597</v>
      </c>
      <c r="S95" s="94">
        <v>16.989999999999998</v>
      </c>
      <c r="T95" s="94">
        <v>0.47</v>
      </c>
      <c r="U95" s="99" t="s">
        <v>281</v>
      </c>
    </row>
    <row r="96" spans="1:21" s="3" customFormat="1" ht="18" customHeight="1">
      <c r="A96" s="164">
        <v>94</v>
      </c>
      <c r="B96" s="340"/>
      <c r="C96" s="69" t="s">
        <v>282</v>
      </c>
      <c r="D96" s="16" t="s">
        <v>598</v>
      </c>
      <c r="E96" s="22" t="s">
        <v>283</v>
      </c>
      <c r="F96" s="19" t="s">
        <v>41</v>
      </c>
      <c r="G96" s="70" t="s">
        <v>599</v>
      </c>
      <c r="H96" s="19" t="s">
        <v>41</v>
      </c>
      <c r="I96" s="82" t="s">
        <v>600</v>
      </c>
      <c r="J96" s="26">
        <v>15</v>
      </c>
      <c r="K96" s="342"/>
      <c r="L96" s="342"/>
      <c r="M96" s="339"/>
      <c r="N96" s="37">
        <v>1.5</v>
      </c>
      <c r="O96" s="37">
        <f t="shared" si="2"/>
        <v>22.5</v>
      </c>
      <c r="P96" s="58">
        <v>6307909899</v>
      </c>
      <c r="Q96" s="55">
        <v>6.3E-2</v>
      </c>
      <c r="R96" s="40" t="s">
        <v>601</v>
      </c>
      <c r="S96" s="40">
        <v>11.99</v>
      </c>
      <c r="T96" s="40">
        <v>7.0000000000000007E-2</v>
      </c>
      <c r="U96" s="99" t="s">
        <v>286</v>
      </c>
    </row>
    <row r="97" spans="1:21" s="3" customFormat="1" ht="18" customHeight="1">
      <c r="A97" s="164">
        <v>95</v>
      </c>
      <c r="B97" s="340"/>
      <c r="C97" s="69" t="s">
        <v>287</v>
      </c>
      <c r="D97" s="16" t="s">
        <v>602</v>
      </c>
      <c r="E97" s="22" t="s">
        <v>288</v>
      </c>
      <c r="F97" s="19" t="s">
        <v>41</v>
      </c>
      <c r="G97" s="70" t="s">
        <v>475</v>
      </c>
      <c r="H97" s="19" t="s">
        <v>41</v>
      </c>
      <c r="I97" s="82" t="s">
        <v>603</v>
      </c>
      <c r="J97" s="26">
        <v>20</v>
      </c>
      <c r="K97" s="342"/>
      <c r="L97" s="342"/>
      <c r="M97" s="339"/>
      <c r="N97" s="37">
        <v>1.5</v>
      </c>
      <c r="O97" s="37">
        <f t="shared" si="2"/>
        <v>30</v>
      </c>
      <c r="P97" s="58">
        <v>9603909900</v>
      </c>
      <c r="Q97" s="55">
        <v>3.6999999999999998E-2</v>
      </c>
      <c r="R97" s="40" t="s">
        <v>604</v>
      </c>
      <c r="S97" s="40">
        <v>4.54</v>
      </c>
      <c r="T97" s="40">
        <v>0.18</v>
      </c>
      <c r="U97" s="99" t="s">
        <v>291</v>
      </c>
    </row>
    <row r="98" spans="1:21" s="3" customFormat="1" ht="18" customHeight="1">
      <c r="A98" s="164">
        <v>96</v>
      </c>
      <c r="B98" s="340"/>
      <c r="C98" s="69" t="s">
        <v>292</v>
      </c>
      <c r="D98" s="16" t="s">
        <v>605</v>
      </c>
      <c r="E98" s="22" t="s">
        <v>293</v>
      </c>
      <c r="F98" s="19" t="s">
        <v>41</v>
      </c>
      <c r="G98" s="70" t="s">
        <v>606</v>
      </c>
      <c r="H98" s="19" t="s">
        <v>41</v>
      </c>
      <c r="I98" s="82" t="s">
        <v>607</v>
      </c>
      <c r="J98" s="26">
        <v>20</v>
      </c>
      <c r="K98" s="342"/>
      <c r="L98" s="342"/>
      <c r="M98" s="339"/>
      <c r="N98" s="37">
        <v>1.5</v>
      </c>
      <c r="O98" s="37">
        <f t="shared" si="2"/>
        <v>30</v>
      </c>
      <c r="P98" s="58">
        <v>7323930090</v>
      </c>
      <c r="Q98" s="55">
        <v>3.2000000000000001E-2</v>
      </c>
      <c r="R98" s="40" t="s">
        <v>608</v>
      </c>
      <c r="S98" s="40">
        <v>0.26</v>
      </c>
      <c r="T98" s="40">
        <v>0.99</v>
      </c>
      <c r="U98" s="99" t="s">
        <v>296</v>
      </c>
    </row>
    <row r="99" spans="1:21" s="3" customFormat="1" ht="18" customHeight="1">
      <c r="A99" s="164">
        <v>97</v>
      </c>
      <c r="B99" s="340"/>
      <c r="C99" s="69" t="s">
        <v>297</v>
      </c>
      <c r="D99" s="16" t="s">
        <v>609</v>
      </c>
      <c r="E99" s="22" t="s">
        <v>298</v>
      </c>
      <c r="F99" s="19" t="s">
        <v>41</v>
      </c>
      <c r="G99" s="70" t="s">
        <v>536</v>
      </c>
      <c r="H99" s="19" t="s">
        <v>41</v>
      </c>
      <c r="I99" s="82" t="s">
        <v>472</v>
      </c>
      <c r="J99" s="26">
        <v>20</v>
      </c>
      <c r="K99" s="342"/>
      <c r="L99" s="342"/>
      <c r="M99" s="339"/>
      <c r="N99" s="37">
        <v>1.5</v>
      </c>
      <c r="O99" s="37">
        <f t="shared" si="2"/>
        <v>30</v>
      </c>
      <c r="P99" s="58">
        <v>3924900090</v>
      </c>
      <c r="Q99" s="55">
        <v>6.5000000000000002E-2</v>
      </c>
      <c r="R99" s="40" t="s">
        <v>610</v>
      </c>
      <c r="S99" s="40">
        <v>1.92</v>
      </c>
      <c r="T99" s="40">
        <v>1.4999999999999999E-2</v>
      </c>
      <c r="U99" s="99" t="s">
        <v>299</v>
      </c>
    </row>
    <row r="100" spans="1:21" s="3" customFormat="1" ht="18" customHeight="1">
      <c r="A100" s="164">
        <v>98</v>
      </c>
      <c r="B100" s="340"/>
      <c r="C100" s="69" t="s">
        <v>300</v>
      </c>
      <c r="D100" s="16" t="s">
        <v>611</v>
      </c>
      <c r="E100" s="22" t="s">
        <v>301</v>
      </c>
      <c r="F100" s="19" t="s">
        <v>41</v>
      </c>
      <c r="G100" s="70" t="s">
        <v>515</v>
      </c>
      <c r="H100" s="19" t="s">
        <v>41</v>
      </c>
      <c r="I100" s="82" t="s">
        <v>484</v>
      </c>
      <c r="J100" s="26">
        <v>22</v>
      </c>
      <c r="K100" s="342"/>
      <c r="L100" s="342"/>
      <c r="M100" s="339"/>
      <c r="N100" s="37">
        <v>1.5</v>
      </c>
      <c r="O100" s="37">
        <f t="shared" si="2"/>
        <v>33</v>
      </c>
      <c r="P100" s="58">
        <v>6406909010</v>
      </c>
      <c r="Q100" s="55">
        <v>0.03</v>
      </c>
      <c r="R100" s="40" t="s">
        <v>612</v>
      </c>
      <c r="S100" s="40">
        <v>24.29</v>
      </c>
      <c r="T100" s="40">
        <v>0.2</v>
      </c>
      <c r="U100" s="99" t="s">
        <v>304</v>
      </c>
    </row>
    <row r="101" spans="1:21" s="3" customFormat="1" ht="18" customHeight="1">
      <c r="A101" s="164">
        <v>99</v>
      </c>
      <c r="B101" s="340" t="s">
        <v>613</v>
      </c>
      <c r="C101" s="69" t="s">
        <v>306</v>
      </c>
      <c r="D101" s="16" t="s">
        <v>614</v>
      </c>
      <c r="E101" s="22" t="s">
        <v>307</v>
      </c>
      <c r="F101" s="19" t="s">
        <v>41</v>
      </c>
      <c r="G101" s="70" t="s">
        <v>615</v>
      </c>
      <c r="H101" s="19" t="s">
        <v>41</v>
      </c>
      <c r="I101" s="82" t="s">
        <v>546</v>
      </c>
      <c r="J101" s="26">
        <v>10</v>
      </c>
      <c r="K101" s="342">
        <f>L101-1.5</f>
        <v>14.5</v>
      </c>
      <c r="L101" s="342">
        <v>16</v>
      </c>
      <c r="M101" s="339">
        <v>1</v>
      </c>
      <c r="N101" s="37">
        <v>1.5</v>
      </c>
      <c r="O101" s="37">
        <f t="shared" si="2"/>
        <v>15</v>
      </c>
      <c r="P101" s="58">
        <v>6302599090</v>
      </c>
      <c r="Q101" s="55">
        <v>0.12</v>
      </c>
      <c r="R101" s="40" t="s">
        <v>616</v>
      </c>
      <c r="S101" s="40">
        <v>0.28000000000000003</v>
      </c>
      <c r="T101" s="40">
        <v>0.1</v>
      </c>
      <c r="U101" s="99" t="s">
        <v>309</v>
      </c>
    </row>
    <row r="102" spans="1:21" s="3" customFormat="1" ht="18" customHeight="1">
      <c r="A102" s="164">
        <v>100</v>
      </c>
      <c r="B102" s="340"/>
      <c r="C102" s="69" t="s">
        <v>310</v>
      </c>
      <c r="D102" s="16" t="s">
        <v>617</v>
      </c>
      <c r="E102" s="22" t="s">
        <v>311</v>
      </c>
      <c r="F102" s="19" t="s">
        <v>41</v>
      </c>
      <c r="G102" s="70" t="s">
        <v>501</v>
      </c>
      <c r="H102" s="19" t="s">
        <v>41</v>
      </c>
      <c r="I102" s="82" t="s">
        <v>484</v>
      </c>
      <c r="J102" s="26">
        <v>20</v>
      </c>
      <c r="K102" s="342"/>
      <c r="L102" s="342"/>
      <c r="M102" s="339"/>
      <c r="N102" s="37">
        <v>1.5</v>
      </c>
      <c r="O102" s="37">
        <f t="shared" si="2"/>
        <v>30</v>
      </c>
      <c r="P102" s="58">
        <v>9021109000</v>
      </c>
      <c r="Q102" s="55">
        <v>0</v>
      </c>
      <c r="R102" s="40" t="s">
        <v>502</v>
      </c>
      <c r="S102" s="40">
        <v>11.99</v>
      </c>
      <c r="T102" s="40">
        <v>0.2</v>
      </c>
      <c r="U102" s="99" t="s">
        <v>140</v>
      </c>
    </row>
    <row r="103" spans="1:21" s="3" customFormat="1" ht="18" customHeight="1">
      <c r="A103" s="164">
        <v>101</v>
      </c>
      <c r="B103" s="340"/>
      <c r="C103" s="69" t="s">
        <v>300</v>
      </c>
      <c r="D103" s="16" t="s">
        <v>611</v>
      </c>
      <c r="E103" s="22" t="s">
        <v>301</v>
      </c>
      <c r="F103" s="19" t="s">
        <v>41</v>
      </c>
      <c r="G103" s="70" t="s">
        <v>515</v>
      </c>
      <c r="H103" s="19" t="s">
        <v>41</v>
      </c>
      <c r="I103" s="82" t="s">
        <v>484</v>
      </c>
      <c r="J103" s="26">
        <v>38</v>
      </c>
      <c r="K103" s="342"/>
      <c r="L103" s="342"/>
      <c r="M103" s="339"/>
      <c r="N103" s="37">
        <v>1.5</v>
      </c>
      <c r="O103" s="37">
        <f t="shared" si="2"/>
        <v>57</v>
      </c>
      <c r="P103" s="58">
        <v>6406909010</v>
      </c>
      <c r="Q103" s="55">
        <v>0.03</v>
      </c>
      <c r="R103" s="40" t="s">
        <v>612</v>
      </c>
      <c r="S103" s="40">
        <v>24.29</v>
      </c>
      <c r="T103" s="40">
        <v>0.2</v>
      </c>
      <c r="U103" s="26" t="s">
        <v>304</v>
      </c>
    </row>
    <row r="104" spans="1:21" s="3" customFormat="1" ht="18" customHeight="1">
      <c r="A104" s="164">
        <v>102</v>
      </c>
      <c r="B104" s="340"/>
      <c r="C104" s="69" t="s">
        <v>313</v>
      </c>
      <c r="D104" s="16" t="s">
        <v>618</v>
      </c>
      <c r="E104" s="22" t="s">
        <v>314</v>
      </c>
      <c r="F104" s="19" t="s">
        <v>41</v>
      </c>
      <c r="G104" s="70" t="s">
        <v>619</v>
      </c>
      <c r="H104" s="19" t="s">
        <v>41</v>
      </c>
      <c r="I104" s="82" t="s">
        <v>484</v>
      </c>
      <c r="J104" s="26">
        <v>30</v>
      </c>
      <c r="K104" s="342"/>
      <c r="L104" s="342"/>
      <c r="M104" s="339"/>
      <c r="N104" s="37">
        <v>1.5</v>
      </c>
      <c r="O104" s="37">
        <f t="shared" si="2"/>
        <v>45</v>
      </c>
      <c r="P104" s="58">
        <v>9506919000</v>
      </c>
      <c r="Q104" s="55">
        <v>2.7E-2</v>
      </c>
      <c r="R104" s="40" t="s">
        <v>620</v>
      </c>
      <c r="S104" s="40">
        <v>12.99</v>
      </c>
      <c r="T104" s="40">
        <v>0.1</v>
      </c>
      <c r="U104" s="99" t="s">
        <v>316</v>
      </c>
    </row>
    <row r="105" spans="1:21" s="3" customFormat="1" ht="18" customHeight="1">
      <c r="A105" s="164">
        <v>103</v>
      </c>
      <c r="B105" s="340"/>
      <c r="C105" s="69" t="s">
        <v>282</v>
      </c>
      <c r="D105" s="16" t="s">
        <v>598</v>
      </c>
      <c r="E105" s="22" t="s">
        <v>283</v>
      </c>
      <c r="F105" s="19" t="s">
        <v>41</v>
      </c>
      <c r="G105" s="70" t="s">
        <v>621</v>
      </c>
      <c r="H105" s="19" t="s">
        <v>41</v>
      </c>
      <c r="I105" s="82" t="s">
        <v>622</v>
      </c>
      <c r="J105" s="26">
        <v>13</v>
      </c>
      <c r="K105" s="342"/>
      <c r="L105" s="342"/>
      <c r="M105" s="339"/>
      <c r="N105" s="37">
        <v>1.5</v>
      </c>
      <c r="O105" s="37">
        <f t="shared" si="2"/>
        <v>19.5</v>
      </c>
      <c r="P105" s="58">
        <v>6307909899</v>
      </c>
      <c r="Q105" s="55">
        <v>6.3E-2</v>
      </c>
      <c r="R105" s="40" t="s">
        <v>601</v>
      </c>
      <c r="S105" s="40">
        <v>11.99</v>
      </c>
      <c r="T105" s="40">
        <v>7.0000000000000007E-2</v>
      </c>
      <c r="U105" s="26" t="s">
        <v>319</v>
      </c>
    </row>
    <row r="106" spans="1:21" s="3" customFormat="1" ht="18" customHeight="1">
      <c r="A106" s="164">
        <v>104</v>
      </c>
      <c r="B106" s="15" t="s">
        <v>623</v>
      </c>
      <c r="C106" s="16" t="s">
        <v>321</v>
      </c>
      <c r="D106" s="73" t="s">
        <v>624</v>
      </c>
      <c r="E106" s="18" t="s">
        <v>61</v>
      </c>
      <c r="F106" s="19" t="s">
        <v>41</v>
      </c>
      <c r="G106" s="20" t="s">
        <v>625</v>
      </c>
      <c r="H106" s="19" t="s">
        <v>41</v>
      </c>
      <c r="I106" s="38" t="s">
        <v>626</v>
      </c>
      <c r="J106" s="40">
        <v>48</v>
      </c>
      <c r="K106" s="146">
        <f t="shared" ref="K106:K115" si="3">L106-1.5</f>
        <v>12.3</v>
      </c>
      <c r="L106" s="146">
        <v>13.8</v>
      </c>
      <c r="M106" s="15">
        <v>1</v>
      </c>
      <c r="N106" s="37">
        <v>0.33</v>
      </c>
      <c r="O106" s="37">
        <f t="shared" si="2"/>
        <v>15.84</v>
      </c>
      <c r="P106" s="58">
        <v>8424200000</v>
      </c>
      <c r="Q106" s="55">
        <v>1.7000000000000001E-2</v>
      </c>
      <c r="R106" s="100" t="s">
        <v>627</v>
      </c>
      <c r="S106" s="100">
        <v>11.62</v>
      </c>
      <c r="T106" s="100">
        <v>0.27</v>
      </c>
      <c r="U106" s="56" t="s">
        <v>325</v>
      </c>
    </row>
    <row r="107" spans="1:21" s="3" customFormat="1" ht="18" customHeight="1">
      <c r="A107" s="164">
        <v>105</v>
      </c>
      <c r="B107" s="15" t="s">
        <v>628</v>
      </c>
      <c r="C107" s="16" t="s">
        <v>321</v>
      </c>
      <c r="D107" s="73" t="s">
        <v>624</v>
      </c>
      <c r="E107" s="18" t="s">
        <v>61</v>
      </c>
      <c r="F107" s="19" t="s">
        <v>41</v>
      </c>
      <c r="G107" s="20" t="s">
        <v>625</v>
      </c>
      <c r="H107" s="19" t="s">
        <v>41</v>
      </c>
      <c r="I107" s="38" t="s">
        <v>626</v>
      </c>
      <c r="J107" s="40">
        <v>48</v>
      </c>
      <c r="K107" s="146">
        <f t="shared" si="3"/>
        <v>12.3</v>
      </c>
      <c r="L107" s="146">
        <v>13.8</v>
      </c>
      <c r="M107" s="15">
        <v>1</v>
      </c>
      <c r="N107" s="37">
        <v>0.33</v>
      </c>
      <c r="O107" s="37">
        <f t="shared" si="2"/>
        <v>15.84</v>
      </c>
      <c r="P107" s="58">
        <v>8424200000</v>
      </c>
      <c r="Q107" s="55">
        <v>1.7000000000000001E-2</v>
      </c>
      <c r="R107" s="100" t="s">
        <v>627</v>
      </c>
      <c r="S107" s="100">
        <v>11.62</v>
      </c>
      <c r="T107" s="100">
        <v>0.27</v>
      </c>
      <c r="U107" s="57" t="s">
        <v>325</v>
      </c>
    </row>
    <row r="108" spans="1:21" s="3" customFormat="1" ht="18" customHeight="1">
      <c r="A108" s="164">
        <v>106</v>
      </c>
      <c r="B108" s="15" t="s">
        <v>629</v>
      </c>
      <c r="C108" s="16" t="s">
        <v>321</v>
      </c>
      <c r="D108" s="73" t="s">
        <v>624</v>
      </c>
      <c r="E108" s="18" t="s">
        <v>61</v>
      </c>
      <c r="F108" s="19" t="s">
        <v>41</v>
      </c>
      <c r="G108" s="20" t="s">
        <v>625</v>
      </c>
      <c r="H108" s="19" t="s">
        <v>41</v>
      </c>
      <c r="I108" s="38" t="s">
        <v>626</v>
      </c>
      <c r="J108" s="40">
        <v>48</v>
      </c>
      <c r="K108" s="146">
        <f t="shared" si="3"/>
        <v>12.3</v>
      </c>
      <c r="L108" s="146">
        <v>13.8</v>
      </c>
      <c r="M108" s="15">
        <v>1</v>
      </c>
      <c r="N108" s="37">
        <v>0.33</v>
      </c>
      <c r="O108" s="37">
        <f t="shared" si="2"/>
        <v>15.84</v>
      </c>
      <c r="P108" s="58">
        <v>8424200000</v>
      </c>
      <c r="Q108" s="55">
        <v>1.7000000000000001E-2</v>
      </c>
      <c r="R108" s="100" t="s">
        <v>627</v>
      </c>
      <c r="S108" s="100">
        <v>11.62</v>
      </c>
      <c r="T108" s="100">
        <v>0.27</v>
      </c>
      <c r="U108" s="57" t="s">
        <v>325</v>
      </c>
    </row>
    <row r="109" spans="1:21" s="3" customFormat="1" ht="18" customHeight="1">
      <c r="A109" s="164">
        <v>107</v>
      </c>
      <c r="B109" s="15" t="s">
        <v>630</v>
      </c>
      <c r="C109" s="16" t="s">
        <v>321</v>
      </c>
      <c r="D109" s="73" t="s">
        <v>624</v>
      </c>
      <c r="E109" s="18" t="s">
        <v>61</v>
      </c>
      <c r="F109" s="19" t="s">
        <v>41</v>
      </c>
      <c r="G109" s="20" t="s">
        <v>625</v>
      </c>
      <c r="H109" s="19" t="s">
        <v>41</v>
      </c>
      <c r="I109" s="38" t="s">
        <v>626</v>
      </c>
      <c r="J109" s="40">
        <v>48</v>
      </c>
      <c r="K109" s="146">
        <f t="shared" si="3"/>
        <v>12.3</v>
      </c>
      <c r="L109" s="146">
        <v>13.8</v>
      </c>
      <c r="M109" s="15">
        <v>1</v>
      </c>
      <c r="N109" s="37">
        <v>0.33</v>
      </c>
      <c r="O109" s="37">
        <f t="shared" si="2"/>
        <v>15.84</v>
      </c>
      <c r="P109" s="58">
        <v>8424200000</v>
      </c>
      <c r="Q109" s="55">
        <v>1.7000000000000001E-2</v>
      </c>
      <c r="R109" s="100" t="s">
        <v>627</v>
      </c>
      <c r="S109" s="100">
        <v>11.62</v>
      </c>
      <c r="T109" s="100">
        <v>0.27</v>
      </c>
      <c r="U109" s="57" t="s">
        <v>325</v>
      </c>
    </row>
    <row r="110" spans="1:21" s="3" customFormat="1" ht="18" customHeight="1">
      <c r="A110" s="164">
        <v>108</v>
      </c>
      <c r="B110" s="15" t="s">
        <v>631</v>
      </c>
      <c r="C110" s="16" t="s">
        <v>321</v>
      </c>
      <c r="D110" s="73" t="s">
        <v>624</v>
      </c>
      <c r="E110" s="18" t="s">
        <v>61</v>
      </c>
      <c r="F110" s="19" t="s">
        <v>41</v>
      </c>
      <c r="G110" s="20" t="s">
        <v>625</v>
      </c>
      <c r="H110" s="19" t="s">
        <v>41</v>
      </c>
      <c r="I110" s="38" t="s">
        <v>626</v>
      </c>
      <c r="J110" s="40">
        <v>48</v>
      </c>
      <c r="K110" s="146">
        <f t="shared" si="3"/>
        <v>12.3</v>
      </c>
      <c r="L110" s="146">
        <v>13.8</v>
      </c>
      <c r="M110" s="15">
        <v>1</v>
      </c>
      <c r="N110" s="37">
        <v>0.33</v>
      </c>
      <c r="O110" s="37">
        <f t="shared" si="2"/>
        <v>15.84</v>
      </c>
      <c r="P110" s="58">
        <v>8424200000</v>
      </c>
      <c r="Q110" s="55">
        <v>1.7000000000000001E-2</v>
      </c>
      <c r="R110" s="100" t="s">
        <v>627</v>
      </c>
      <c r="S110" s="100">
        <v>11.62</v>
      </c>
      <c r="T110" s="100">
        <v>0.27</v>
      </c>
      <c r="U110" s="57" t="s">
        <v>325</v>
      </c>
    </row>
    <row r="111" spans="1:21" s="3" customFormat="1" ht="18" customHeight="1">
      <c r="A111" s="164">
        <v>109</v>
      </c>
      <c r="B111" s="15" t="s">
        <v>632</v>
      </c>
      <c r="C111" s="24" t="s">
        <v>331</v>
      </c>
      <c r="D111" s="74" t="s">
        <v>633</v>
      </c>
      <c r="E111" s="22" t="s">
        <v>332</v>
      </c>
      <c r="F111" s="19" t="s">
        <v>41</v>
      </c>
      <c r="G111" s="20" t="s">
        <v>634</v>
      </c>
      <c r="H111" s="19" t="s">
        <v>41</v>
      </c>
      <c r="I111" s="38" t="s">
        <v>635</v>
      </c>
      <c r="J111" s="40">
        <v>48</v>
      </c>
      <c r="K111" s="146">
        <f t="shared" si="3"/>
        <v>12.3</v>
      </c>
      <c r="L111" s="146">
        <v>13.8</v>
      </c>
      <c r="M111" s="15">
        <v>1</v>
      </c>
      <c r="N111" s="37">
        <v>0.22</v>
      </c>
      <c r="O111" s="37">
        <f t="shared" si="2"/>
        <v>10.56</v>
      </c>
      <c r="P111" s="58">
        <v>9021109000</v>
      </c>
      <c r="Q111" s="55">
        <v>0</v>
      </c>
      <c r="R111" s="101" t="s">
        <v>636</v>
      </c>
      <c r="S111" s="101">
        <v>10.99</v>
      </c>
      <c r="T111" s="101">
        <v>0.12</v>
      </c>
      <c r="U111" s="102" t="s">
        <v>335</v>
      </c>
    </row>
    <row r="112" spans="1:21" s="3" customFormat="1" ht="18" customHeight="1">
      <c r="A112" s="164">
        <v>110</v>
      </c>
      <c r="B112" s="15" t="s">
        <v>637</v>
      </c>
      <c r="C112" s="24" t="s">
        <v>331</v>
      </c>
      <c r="D112" s="74" t="s">
        <v>633</v>
      </c>
      <c r="E112" s="22" t="s">
        <v>332</v>
      </c>
      <c r="F112" s="19" t="s">
        <v>41</v>
      </c>
      <c r="G112" s="20" t="s">
        <v>634</v>
      </c>
      <c r="H112" s="19" t="s">
        <v>41</v>
      </c>
      <c r="I112" s="38" t="s">
        <v>635</v>
      </c>
      <c r="J112" s="40">
        <v>48</v>
      </c>
      <c r="K112" s="146">
        <f t="shared" si="3"/>
        <v>5.68</v>
      </c>
      <c r="L112" s="146">
        <v>7.18</v>
      </c>
      <c r="M112" s="15">
        <v>1</v>
      </c>
      <c r="N112" s="37">
        <v>0.22</v>
      </c>
      <c r="O112" s="37">
        <f t="shared" si="2"/>
        <v>10.56</v>
      </c>
      <c r="P112" s="58">
        <v>9021109000</v>
      </c>
      <c r="Q112" s="55">
        <v>0</v>
      </c>
      <c r="R112" s="101" t="s">
        <v>636</v>
      </c>
      <c r="S112" s="101">
        <v>10.99</v>
      </c>
      <c r="T112" s="101">
        <v>0.12</v>
      </c>
      <c r="U112" s="57" t="s">
        <v>335</v>
      </c>
    </row>
    <row r="113" spans="1:21" s="3" customFormat="1" ht="18" customHeight="1">
      <c r="A113" s="164">
        <v>111</v>
      </c>
      <c r="B113" s="15" t="s">
        <v>638</v>
      </c>
      <c r="C113" s="24" t="s">
        <v>331</v>
      </c>
      <c r="D113" s="74" t="s">
        <v>633</v>
      </c>
      <c r="E113" s="22" t="s">
        <v>332</v>
      </c>
      <c r="F113" s="19" t="s">
        <v>41</v>
      </c>
      <c r="G113" s="20" t="s">
        <v>634</v>
      </c>
      <c r="H113" s="19" t="s">
        <v>41</v>
      </c>
      <c r="I113" s="38" t="s">
        <v>635</v>
      </c>
      <c r="J113" s="40">
        <v>48</v>
      </c>
      <c r="K113" s="146">
        <f t="shared" si="3"/>
        <v>5.68</v>
      </c>
      <c r="L113" s="146">
        <v>7.18</v>
      </c>
      <c r="M113" s="15">
        <v>1</v>
      </c>
      <c r="N113" s="37">
        <v>0.22</v>
      </c>
      <c r="O113" s="37">
        <f t="shared" si="2"/>
        <v>10.56</v>
      </c>
      <c r="P113" s="58">
        <v>9021109000</v>
      </c>
      <c r="Q113" s="55">
        <v>0</v>
      </c>
      <c r="R113" s="101" t="s">
        <v>636</v>
      </c>
      <c r="S113" s="101">
        <v>10.99</v>
      </c>
      <c r="T113" s="101">
        <v>0.12</v>
      </c>
      <c r="U113" s="57" t="s">
        <v>335</v>
      </c>
    </row>
    <row r="114" spans="1:21" s="3" customFormat="1" ht="18" customHeight="1">
      <c r="A114" s="164">
        <v>112</v>
      </c>
      <c r="B114" s="15" t="s">
        <v>639</v>
      </c>
      <c r="C114" s="24" t="s">
        <v>331</v>
      </c>
      <c r="D114" s="74" t="s">
        <v>633</v>
      </c>
      <c r="E114" s="22" t="s">
        <v>332</v>
      </c>
      <c r="F114" s="19" t="s">
        <v>41</v>
      </c>
      <c r="G114" s="20" t="s">
        <v>634</v>
      </c>
      <c r="H114" s="19" t="s">
        <v>41</v>
      </c>
      <c r="I114" s="38" t="s">
        <v>635</v>
      </c>
      <c r="J114" s="40">
        <v>46</v>
      </c>
      <c r="K114" s="146">
        <f t="shared" si="3"/>
        <v>5.69</v>
      </c>
      <c r="L114" s="146">
        <v>7.19</v>
      </c>
      <c r="M114" s="15">
        <v>1</v>
      </c>
      <c r="N114" s="37">
        <v>0.22</v>
      </c>
      <c r="O114" s="37">
        <f t="shared" si="2"/>
        <v>10.119999999999999</v>
      </c>
      <c r="P114" s="58">
        <v>9021109000</v>
      </c>
      <c r="Q114" s="55">
        <v>0</v>
      </c>
      <c r="R114" s="101" t="s">
        <v>636</v>
      </c>
      <c r="S114" s="101">
        <v>10.99</v>
      </c>
      <c r="T114" s="101">
        <v>0.12</v>
      </c>
      <c r="U114" s="57" t="s">
        <v>335</v>
      </c>
    </row>
    <row r="115" spans="1:21" s="3" customFormat="1" ht="18" customHeight="1">
      <c r="A115" s="164">
        <v>113</v>
      </c>
      <c r="B115" s="340" t="s">
        <v>640</v>
      </c>
      <c r="C115" s="24" t="s">
        <v>340</v>
      </c>
      <c r="D115" s="16" t="s">
        <v>641</v>
      </c>
      <c r="E115" s="15" t="s">
        <v>642</v>
      </c>
      <c r="F115" s="75" t="s">
        <v>342</v>
      </c>
      <c r="G115" s="76" t="s">
        <v>343</v>
      </c>
      <c r="H115" s="19" t="s">
        <v>41</v>
      </c>
      <c r="I115" s="41" t="s">
        <v>643</v>
      </c>
      <c r="J115" s="15">
        <v>100</v>
      </c>
      <c r="K115" s="343">
        <f t="shared" si="3"/>
        <v>10.5</v>
      </c>
      <c r="L115" s="343">
        <v>12</v>
      </c>
      <c r="M115" s="339">
        <v>1</v>
      </c>
      <c r="N115" s="37">
        <v>0.15</v>
      </c>
      <c r="O115" s="37">
        <f t="shared" si="2"/>
        <v>15</v>
      </c>
      <c r="P115" s="58">
        <v>8443999000</v>
      </c>
      <c r="Q115" s="55">
        <v>0</v>
      </c>
      <c r="R115" s="101" t="s">
        <v>644</v>
      </c>
      <c r="S115" s="101">
        <v>9.99</v>
      </c>
      <c r="T115" s="101">
        <v>0.06</v>
      </c>
      <c r="U115" s="102" t="s">
        <v>345</v>
      </c>
    </row>
    <row r="116" spans="1:21" s="3" customFormat="1" ht="18" customHeight="1">
      <c r="A116" s="164">
        <v>114</v>
      </c>
      <c r="B116" s="340"/>
      <c r="C116" s="24" t="s">
        <v>346</v>
      </c>
      <c r="D116" s="16" t="s">
        <v>645</v>
      </c>
      <c r="E116" s="18" t="s">
        <v>646</v>
      </c>
      <c r="F116" s="75" t="s">
        <v>348</v>
      </c>
      <c r="G116" s="76" t="s">
        <v>647</v>
      </c>
      <c r="H116" s="19" t="s">
        <v>41</v>
      </c>
      <c r="I116" s="86" t="s">
        <v>350</v>
      </c>
      <c r="J116" s="15">
        <v>89</v>
      </c>
      <c r="K116" s="343"/>
      <c r="L116" s="343"/>
      <c r="M116" s="339"/>
      <c r="N116" s="37">
        <v>0.11</v>
      </c>
      <c r="O116" s="37">
        <f t="shared" si="2"/>
        <v>9.7900000000000009</v>
      </c>
      <c r="P116" s="58">
        <v>3923299000</v>
      </c>
      <c r="Q116" s="55">
        <v>6.5000000000000002E-2</v>
      </c>
      <c r="R116" s="103" t="s">
        <v>648</v>
      </c>
      <c r="S116" s="103">
        <v>6.99</v>
      </c>
      <c r="T116" s="103">
        <v>0.2</v>
      </c>
      <c r="U116" s="56" t="s">
        <v>351</v>
      </c>
    </row>
    <row r="117" spans="1:21" s="3" customFormat="1" ht="18" customHeight="1">
      <c r="A117" s="164">
        <v>115</v>
      </c>
      <c r="B117" s="25" t="s">
        <v>649</v>
      </c>
      <c r="C117" s="24" t="s">
        <v>346</v>
      </c>
      <c r="D117" s="16" t="s">
        <v>645</v>
      </c>
      <c r="E117" s="18" t="s">
        <v>646</v>
      </c>
      <c r="F117" s="75" t="s">
        <v>348</v>
      </c>
      <c r="G117" s="76" t="s">
        <v>647</v>
      </c>
      <c r="H117" s="19" t="s">
        <v>41</v>
      </c>
      <c r="I117" s="86" t="s">
        <v>350</v>
      </c>
      <c r="J117" s="15">
        <v>89</v>
      </c>
      <c r="K117" s="156">
        <f t="shared" ref="K117:K143" si="4">L117-1.5</f>
        <v>10.5</v>
      </c>
      <c r="L117" s="156">
        <v>12</v>
      </c>
      <c r="M117" s="26">
        <v>1</v>
      </c>
      <c r="N117" s="37">
        <v>0.11</v>
      </c>
      <c r="O117" s="37">
        <f t="shared" si="2"/>
        <v>9.7900000000000009</v>
      </c>
      <c r="P117" s="58">
        <v>3923299000</v>
      </c>
      <c r="Q117" s="55">
        <v>6.5000000000000002E-2</v>
      </c>
      <c r="R117" s="103" t="s">
        <v>648</v>
      </c>
      <c r="S117" s="103">
        <v>6.99</v>
      </c>
      <c r="T117" s="103">
        <v>0.2</v>
      </c>
      <c r="U117" s="104" t="s">
        <v>351</v>
      </c>
    </row>
    <row r="118" spans="1:21" s="3" customFormat="1" ht="18" customHeight="1">
      <c r="A118" s="164">
        <v>116</v>
      </c>
      <c r="B118" s="25" t="s">
        <v>650</v>
      </c>
      <c r="C118" s="24" t="s">
        <v>346</v>
      </c>
      <c r="D118" s="16" t="s">
        <v>645</v>
      </c>
      <c r="E118" s="18" t="s">
        <v>646</v>
      </c>
      <c r="F118" s="75" t="s">
        <v>348</v>
      </c>
      <c r="G118" s="76" t="s">
        <v>647</v>
      </c>
      <c r="H118" s="19" t="s">
        <v>41</v>
      </c>
      <c r="I118" s="86" t="s">
        <v>350</v>
      </c>
      <c r="J118" s="15">
        <v>89</v>
      </c>
      <c r="K118" s="156">
        <f t="shared" si="4"/>
        <v>10.5</v>
      </c>
      <c r="L118" s="156">
        <v>12</v>
      </c>
      <c r="M118" s="26">
        <v>1</v>
      </c>
      <c r="N118" s="37">
        <v>0.11</v>
      </c>
      <c r="O118" s="37">
        <f t="shared" si="2"/>
        <v>9.7900000000000009</v>
      </c>
      <c r="P118" s="58">
        <v>3923299000</v>
      </c>
      <c r="Q118" s="55">
        <v>6.5000000000000002E-2</v>
      </c>
      <c r="R118" s="103" t="s">
        <v>648</v>
      </c>
      <c r="S118" s="103">
        <v>6.99</v>
      </c>
      <c r="T118" s="103">
        <v>0.2</v>
      </c>
      <c r="U118" s="105" t="s">
        <v>351</v>
      </c>
    </row>
    <row r="119" spans="1:21" s="3" customFormat="1" ht="18" customHeight="1">
      <c r="A119" s="164">
        <v>117</v>
      </c>
      <c r="B119" s="25" t="s">
        <v>651</v>
      </c>
      <c r="C119" s="24" t="s">
        <v>346</v>
      </c>
      <c r="D119" s="16" t="s">
        <v>645</v>
      </c>
      <c r="E119" s="18" t="s">
        <v>646</v>
      </c>
      <c r="F119" s="172" t="s">
        <v>348</v>
      </c>
      <c r="G119" s="173" t="s">
        <v>647</v>
      </c>
      <c r="H119" s="19" t="s">
        <v>41</v>
      </c>
      <c r="I119" s="86" t="s">
        <v>350</v>
      </c>
      <c r="J119" s="15">
        <v>89</v>
      </c>
      <c r="K119" s="156">
        <f t="shared" si="4"/>
        <v>10.5</v>
      </c>
      <c r="L119" s="156">
        <v>12</v>
      </c>
      <c r="M119" s="26">
        <v>1</v>
      </c>
      <c r="N119" s="37">
        <v>0.11</v>
      </c>
      <c r="O119" s="37">
        <f t="shared" si="2"/>
        <v>9.7900000000000009</v>
      </c>
      <c r="P119" s="58">
        <v>3923299000</v>
      </c>
      <c r="Q119" s="55">
        <v>6.5000000000000002E-2</v>
      </c>
      <c r="R119" s="103" t="s">
        <v>648</v>
      </c>
      <c r="S119" s="103">
        <v>6.99</v>
      </c>
      <c r="T119" s="103">
        <v>0.2</v>
      </c>
      <c r="U119" s="104" t="s">
        <v>351</v>
      </c>
    </row>
    <row r="120" spans="1:21" s="3" customFormat="1" ht="18" customHeight="1">
      <c r="A120" s="164">
        <v>118</v>
      </c>
      <c r="B120" s="25" t="s">
        <v>652</v>
      </c>
      <c r="C120" s="24" t="s">
        <v>346</v>
      </c>
      <c r="D120" s="16" t="s">
        <v>645</v>
      </c>
      <c r="E120" s="18" t="s">
        <v>646</v>
      </c>
      <c r="F120" s="75" t="s">
        <v>348</v>
      </c>
      <c r="G120" s="76" t="s">
        <v>647</v>
      </c>
      <c r="H120" s="19" t="s">
        <v>41</v>
      </c>
      <c r="I120" s="87" t="s">
        <v>350</v>
      </c>
      <c r="J120" s="15">
        <v>89</v>
      </c>
      <c r="K120" s="156">
        <f t="shared" si="4"/>
        <v>17.399999999999999</v>
      </c>
      <c r="L120" s="156">
        <v>18.899999999999999</v>
      </c>
      <c r="M120" s="26">
        <v>1</v>
      </c>
      <c r="N120" s="37">
        <v>0.11</v>
      </c>
      <c r="O120" s="37">
        <f t="shared" si="2"/>
        <v>9.7900000000000009</v>
      </c>
      <c r="P120" s="54">
        <v>3923299000</v>
      </c>
      <c r="Q120" s="55">
        <v>6.5000000000000002E-2</v>
      </c>
      <c r="R120" s="103" t="s">
        <v>648</v>
      </c>
      <c r="S120" s="103">
        <v>6.99</v>
      </c>
      <c r="T120" s="103">
        <v>0.2</v>
      </c>
      <c r="U120" s="104" t="s">
        <v>351</v>
      </c>
    </row>
    <row r="121" spans="1:21" s="3" customFormat="1" ht="18" customHeight="1">
      <c r="A121" s="164">
        <v>119</v>
      </c>
      <c r="B121" s="15" t="s">
        <v>653</v>
      </c>
      <c r="C121" s="174" t="s">
        <v>357</v>
      </c>
      <c r="D121" s="16" t="s">
        <v>645</v>
      </c>
      <c r="E121" s="22" t="s">
        <v>358</v>
      </c>
      <c r="F121" s="76" t="s">
        <v>41</v>
      </c>
      <c r="G121" s="75" t="s">
        <v>359</v>
      </c>
      <c r="H121" s="19" t="s">
        <v>41</v>
      </c>
      <c r="I121" s="69" t="s">
        <v>654</v>
      </c>
      <c r="J121" s="15">
        <v>9</v>
      </c>
      <c r="K121" s="146">
        <f t="shared" si="4"/>
        <v>6.9499999999999993</v>
      </c>
      <c r="L121" s="146">
        <v>8.4499999999999993</v>
      </c>
      <c r="M121" s="26">
        <v>1</v>
      </c>
      <c r="N121" s="37">
        <v>1.32</v>
      </c>
      <c r="O121" s="37">
        <f t="shared" si="2"/>
        <v>11.88</v>
      </c>
      <c r="P121" s="54">
        <v>9205909000</v>
      </c>
      <c r="Q121" s="55">
        <v>3.2000000000000001E-2</v>
      </c>
      <c r="R121" s="103" t="s">
        <v>655</v>
      </c>
      <c r="S121" s="103">
        <v>18.989999999999998</v>
      </c>
      <c r="T121" s="103">
        <v>0.84</v>
      </c>
      <c r="U121" s="106" t="s">
        <v>361</v>
      </c>
    </row>
    <row r="122" spans="1:21" s="3" customFormat="1" ht="18" customHeight="1">
      <c r="A122" s="164">
        <v>120</v>
      </c>
      <c r="B122" s="15" t="s">
        <v>656</v>
      </c>
      <c r="C122" s="174" t="s">
        <v>357</v>
      </c>
      <c r="D122" s="16" t="s">
        <v>645</v>
      </c>
      <c r="E122" s="22" t="s">
        <v>358</v>
      </c>
      <c r="F122" s="76" t="s">
        <v>41</v>
      </c>
      <c r="G122" s="75" t="s">
        <v>359</v>
      </c>
      <c r="H122" s="19" t="s">
        <v>41</v>
      </c>
      <c r="I122" s="69" t="s">
        <v>654</v>
      </c>
      <c r="J122" s="15">
        <v>11</v>
      </c>
      <c r="K122" s="146">
        <f t="shared" si="4"/>
        <v>8.35</v>
      </c>
      <c r="L122" s="146">
        <v>9.85</v>
      </c>
      <c r="M122" s="26">
        <v>1</v>
      </c>
      <c r="N122" s="37">
        <v>1.32</v>
      </c>
      <c r="O122" s="37">
        <f t="shared" si="2"/>
        <v>14.520000000000001</v>
      </c>
      <c r="P122" s="54">
        <v>9205909000</v>
      </c>
      <c r="Q122" s="55">
        <v>3.2000000000000001E-2</v>
      </c>
      <c r="R122" s="103" t="s">
        <v>655</v>
      </c>
      <c r="S122" s="103">
        <v>18.989999999999998</v>
      </c>
      <c r="T122" s="103">
        <v>0.84</v>
      </c>
      <c r="U122" s="107" t="s">
        <v>361</v>
      </c>
    </row>
    <row r="123" spans="1:21" s="3" customFormat="1" ht="18" customHeight="1">
      <c r="A123" s="164">
        <v>121</v>
      </c>
      <c r="B123" s="15" t="s">
        <v>657</v>
      </c>
      <c r="C123" s="174" t="s">
        <v>357</v>
      </c>
      <c r="D123" s="16" t="s">
        <v>645</v>
      </c>
      <c r="E123" s="22" t="s">
        <v>358</v>
      </c>
      <c r="F123" s="76" t="s">
        <v>41</v>
      </c>
      <c r="G123" s="75" t="s">
        <v>359</v>
      </c>
      <c r="H123" s="19" t="s">
        <v>41</v>
      </c>
      <c r="I123" s="69" t="s">
        <v>654</v>
      </c>
      <c r="J123" s="15">
        <v>10</v>
      </c>
      <c r="K123" s="146">
        <f t="shared" si="4"/>
        <v>8.35</v>
      </c>
      <c r="L123" s="146">
        <v>9.85</v>
      </c>
      <c r="M123" s="26">
        <v>1</v>
      </c>
      <c r="N123" s="37">
        <v>1.32</v>
      </c>
      <c r="O123" s="37">
        <f t="shared" si="2"/>
        <v>13.200000000000001</v>
      </c>
      <c r="P123" s="54">
        <v>9205909000</v>
      </c>
      <c r="Q123" s="55">
        <v>3.2000000000000001E-2</v>
      </c>
      <c r="R123" s="103" t="s">
        <v>655</v>
      </c>
      <c r="S123" s="103">
        <v>18.989999999999998</v>
      </c>
      <c r="T123" s="103">
        <v>0.84</v>
      </c>
      <c r="U123" s="107" t="s">
        <v>361</v>
      </c>
    </row>
    <row r="124" spans="1:21" s="3" customFormat="1" ht="18" customHeight="1">
      <c r="A124" s="164">
        <v>122</v>
      </c>
      <c r="B124" s="15" t="s">
        <v>658</v>
      </c>
      <c r="C124" s="77" t="s">
        <v>365</v>
      </c>
      <c r="D124" s="16" t="s">
        <v>659</v>
      </c>
      <c r="E124" s="18" t="s">
        <v>660</v>
      </c>
      <c r="F124" s="78" t="s">
        <v>41</v>
      </c>
      <c r="G124" s="79" t="s">
        <v>367</v>
      </c>
      <c r="H124" s="80" t="s">
        <v>41</v>
      </c>
      <c r="I124" s="33" t="s">
        <v>368</v>
      </c>
      <c r="J124" s="15">
        <v>216</v>
      </c>
      <c r="K124" s="157">
        <f t="shared" si="4"/>
        <v>27</v>
      </c>
      <c r="L124" s="157">
        <v>28.5</v>
      </c>
      <c r="M124" s="25">
        <v>1</v>
      </c>
      <c r="N124" s="37">
        <v>0.26</v>
      </c>
      <c r="O124" s="37">
        <f t="shared" si="2"/>
        <v>56.160000000000004</v>
      </c>
      <c r="P124" s="54">
        <v>6208990099</v>
      </c>
      <c r="Q124" s="55">
        <v>0.12</v>
      </c>
      <c r="R124" s="108" t="s">
        <v>661</v>
      </c>
      <c r="S124" s="108">
        <v>1.99</v>
      </c>
      <c r="T124" s="108">
        <v>0.15</v>
      </c>
      <c r="U124" s="109" t="s">
        <v>369</v>
      </c>
    </row>
    <row r="125" spans="1:21" s="3" customFormat="1" ht="18" customHeight="1">
      <c r="A125" s="164">
        <v>123</v>
      </c>
      <c r="B125" s="15" t="s">
        <v>662</v>
      </c>
      <c r="C125" s="77" t="s">
        <v>365</v>
      </c>
      <c r="D125" s="16" t="s">
        <v>659</v>
      </c>
      <c r="E125" s="18" t="s">
        <v>660</v>
      </c>
      <c r="F125" s="78" t="s">
        <v>41</v>
      </c>
      <c r="G125" s="79" t="s">
        <v>367</v>
      </c>
      <c r="H125" s="80" t="s">
        <v>41</v>
      </c>
      <c r="I125" s="33" t="s">
        <v>368</v>
      </c>
      <c r="J125" s="15">
        <v>216</v>
      </c>
      <c r="K125" s="157">
        <f t="shared" si="4"/>
        <v>27</v>
      </c>
      <c r="L125" s="157">
        <v>28.5</v>
      </c>
      <c r="M125" s="25">
        <v>1</v>
      </c>
      <c r="N125" s="37">
        <v>0.26</v>
      </c>
      <c r="O125" s="37">
        <f t="shared" si="2"/>
        <v>56.160000000000004</v>
      </c>
      <c r="P125" s="54">
        <v>6208990099</v>
      </c>
      <c r="Q125" s="55">
        <v>0.12</v>
      </c>
      <c r="R125" s="108" t="s">
        <v>661</v>
      </c>
      <c r="S125" s="108">
        <v>1.99</v>
      </c>
      <c r="T125" s="108">
        <v>0.15</v>
      </c>
      <c r="U125" s="110" t="s">
        <v>369</v>
      </c>
    </row>
    <row r="126" spans="1:21" s="3" customFormat="1" ht="18" customHeight="1">
      <c r="A126" s="164">
        <v>124</v>
      </c>
      <c r="B126" s="15" t="s">
        <v>663</v>
      </c>
      <c r="C126" s="77" t="s">
        <v>365</v>
      </c>
      <c r="D126" s="16" t="s">
        <v>659</v>
      </c>
      <c r="E126" s="18" t="s">
        <v>660</v>
      </c>
      <c r="F126" s="78" t="s">
        <v>41</v>
      </c>
      <c r="G126" s="79" t="s">
        <v>367</v>
      </c>
      <c r="H126" s="80" t="s">
        <v>41</v>
      </c>
      <c r="I126" s="33" t="s">
        <v>368</v>
      </c>
      <c r="J126" s="15">
        <v>216</v>
      </c>
      <c r="K126" s="157">
        <f t="shared" si="4"/>
        <v>21.5</v>
      </c>
      <c r="L126" s="157">
        <v>23</v>
      </c>
      <c r="M126" s="25">
        <v>1</v>
      </c>
      <c r="N126" s="37">
        <v>0.26</v>
      </c>
      <c r="O126" s="37">
        <f t="shared" si="2"/>
        <v>56.160000000000004</v>
      </c>
      <c r="P126" s="54">
        <v>6208990099</v>
      </c>
      <c r="Q126" s="55">
        <v>0.12</v>
      </c>
      <c r="R126" s="108" t="s">
        <v>661</v>
      </c>
      <c r="S126" s="108">
        <v>1.99</v>
      </c>
      <c r="T126" s="108">
        <v>0.15</v>
      </c>
      <c r="U126" s="110" t="s">
        <v>369</v>
      </c>
    </row>
    <row r="127" spans="1:21" s="3" customFormat="1" ht="18" customHeight="1">
      <c r="A127" s="164">
        <v>125</v>
      </c>
      <c r="B127" s="23" t="s">
        <v>664</v>
      </c>
      <c r="C127" s="24" t="s">
        <v>80</v>
      </c>
      <c r="D127" s="16" t="s">
        <v>463</v>
      </c>
      <c r="E127" s="22" t="s">
        <v>81</v>
      </c>
      <c r="F127" s="19" t="s">
        <v>41</v>
      </c>
      <c r="G127" s="20" t="s">
        <v>464</v>
      </c>
      <c r="H127" s="19" t="s">
        <v>41</v>
      </c>
      <c r="I127" s="16" t="s">
        <v>665</v>
      </c>
      <c r="J127" s="42">
        <v>128</v>
      </c>
      <c r="K127" s="146">
        <f t="shared" si="4"/>
        <v>17.829999999999998</v>
      </c>
      <c r="L127" s="146">
        <v>19.329999999999998</v>
      </c>
      <c r="M127" s="25">
        <v>1</v>
      </c>
      <c r="N127" s="37">
        <v>0.08</v>
      </c>
      <c r="O127" s="37">
        <f t="shared" si="2"/>
        <v>10.24</v>
      </c>
      <c r="P127" s="54">
        <v>9609909000</v>
      </c>
      <c r="Q127" s="55">
        <v>1.7000000000000001E-2</v>
      </c>
      <c r="R127" s="16" t="s">
        <v>466</v>
      </c>
      <c r="S127" s="16">
        <v>7.99</v>
      </c>
      <c r="T127" s="16">
        <v>4.4999999999999998E-2</v>
      </c>
      <c r="U127" s="111" t="s">
        <v>375</v>
      </c>
    </row>
    <row r="128" spans="1:21" s="3" customFormat="1" ht="18" customHeight="1">
      <c r="A128" s="164">
        <v>126</v>
      </c>
      <c r="B128" s="23" t="s">
        <v>666</v>
      </c>
      <c r="C128" s="24" t="s">
        <v>80</v>
      </c>
      <c r="D128" s="16" t="s">
        <v>463</v>
      </c>
      <c r="E128" s="22" t="s">
        <v>81</v>
      </c>
      <c r="F128" s="19" t="s">
        <v>41</v>
      </c>
      <c r="G128" s="20" t="s">
        <v>464</v>
      </c>
      <c r="H128" s="19" t="s">
        <v>41</v>
      </c>
      <c r="I128" s="16" t="s">
        <v>665</v>
      </c>
      <c r="J128" s="42">
        <v>128</v>
      </c>
      <c r="K128" s="146">
        <f t="shared" si="4"/>
        <v>17.829999999999998</v>
      </c>
      <c r="L128" s="146">
        <v>19.329999999999998</v>
      </c>
      <c r="M128" s="25">
        <v>1</v>
      </c>
      <c r="N128" s="37">
        <v>0.08</v>
      </c>
      <c r="O128" s="37">
        <f t="shared" si="2"/>
        <v>10.24</v>
      </c>
      <c r="P128" s="54">
        <v>9609909000</v>
      </c>
      <c r="Q128" s="55">
        <v>1.7000000000000001E-2</v>
      </c>
      <c r="R128" s="16" t="s">
        <v>466</v>
      </c>
      <c r="S128" s="16">
        <v>7.99</v>
      </c>
      <c r="T128" s="16">
        <v>4.4999999999999998E-2</v>
      </c>
      <c r="U128" s="111" t="s">
        <v>375</v>
      </c>
    </row>
    <row r="129" spans="1:21" s="3" customFormat="1" ht="18" customHeight="1">
      <c r="A129" s="164">
        <v>127</v>
      </c>
      <c r="B129" s="23" t="s">
        <v>667</v>
      </c>
      <c r="C129" s="24" t="s">
        <v>80</v>
      </c>
      <c r="D129" s="16" t="s">
        <v>463</v>
      </c>
      <c r="E129" s="22" t="s">
        <v>81</v>
      </c>
      <c r="F129" s="19" t="s">
        <v>41</v>
      </c>
      <c r="G129" s="20" t="s">
        <v>464</v>
      </c>
      <c r="H129" s="19" t="s">
        <v>41</v>
      </c>
      <c r="I129" s="16" t="s">
        <v>665</v>
      </c>
      <c r="J129" s="42">
        <v>128</v>
      </c>
      <c r="K129" s="146">
        <f t="shared" si="4"/>
        <v>17.829999999999998</v>
      </c>
      <c r="L129" s="146">
        <v>19.329999999999998</v>
      </c>
      <c r="M129" s="25">
        <v>1</v>
      </c>
      <c r="N129" s="37">
        <v>0.08</v>
      </c>
      <c r="O129" s="37">
        <f t="shared" si="2"/>
        <v>10.24</v>
      </c>
      <c r="P129" s="54">
        <v>9609909000</v>
      </c>
      <c r="Q129" s="55">
        <v>1.7000000000000001E-2</v>
      </c>
      <c r="R129" s="16" t="s">
        <v>466</v>
      </c>
      <c r="S129" s="16">
        <v>7.99</v>
      </c>
      <c r="T129" s="16">
        <v>4.4999999999999998E-2</v>
      </c>
      <c r="U129" s="111" t="s">
        <v>375</v>
      </c>
    </row>
    <row r="130" spans="1:21" s="3" customFormat="1" ht="18" customHeight="1">
      <c r="A130" s="164">
        <v>128</v>
      </c>
      <c r="B130" s="23" t="s">
        <v>668</v>
      </c>
      <c r="C130" s="24" t="s">
        <v>80</v>
      </c>
      <c r="D130" s="16" t="s">
        <v>463</v>
      </c>
      <c r="E130" s="22" t="s">
        <v>81</v>
      </c>
      <c r="F130" s="19" t="s">
        <v>41</v>
      </c>
      <c r="G130" s="20" t="s">
        <v>464</v>
      </c>
      <c r="H130" s="19" t="s">
        <v>41</v>
      </c>
      <c r="I130" s="16" t="s">
        <v>665</v>
      </c>
      <c r="J130" s="42">
        <v>128</v>
      </c>
      <c r="K130" s="146">
        <f t="shared" si="4"/>
        <v>17.829999999999998</v>
      </c>
      <c r="L130" s="146">
        <v>19.329999999999998</v>
      </c>
      <c r="M130" s="25">
        <v>1</v>
      </c>
      <c r="N130" s="37">
        <v>0.08</v>
      </c>
      <c r="O130" s="37">
        <f t="shared" si="2"/>
        <v>10.24</v>
      </c>
      <c r="P130" s="54">
        <v>9609909000</v>
      </c>
      <c r="Q130" s="55">
        <v>1.7000000000000001E-2</v>
      </c>
      <c r="R130" s="16" t="s">
        <v>466</v>
      </c>
      <c r="S130" s="16">
        <v>7.99</v>
      </c>
      <c r="T130" s="16">
        <v>4.4999999999999998E-2</v>
      </c>
      <c r="U130" s="111" t="s">
        <v>375</v>
      </c>
    </row>
    <row r="131" spans="1:21" s="3" customFormat="1" ht="18" customHeight="1">
      <c r="A131" s="164">
        <v>129</v>
      </c>
      <c r="B131" s="23" t="s">
        <v>669</v>
      </c>
      <c r="C131" s="24" t="s">
        <v>80</v>
      </c>
      <c r="D131" s="16" t="s">
        <v>463</v>
      </c>
      <c r="E131" s="22" t="s">
        <v>81</v>
      </c>
      <c r="F131" s="19" t="s">
        <v>41</v>
      </c>
      <c r="G131" s="20" t="s">
        <v>464</v>
      </c>
      <c r="H131" s="19" t="s">
        <v>41</v>
      </c>
      <c r="I131" s="16" t="s">
        <v>665</v>
      </c>
      <c r="J131" s="42">
        <v>128</v>
      </c>
      <c r="K131" s="146">
        <f t="shared" si="4"/>
        <v>17.829999999999998</v>
      </c>
      <c r="L131" s="146">
        <v>19.329999999999998</v>
      </c>
      <c r="M131" s="25">
        <v>1</v>
      </c>
      <c r="N131" s="37">
        <v>0.08</v>
      </c>
      <c r="O131" s="37">
        <f t="shared" ref="O131:O143" si="5">N131*J131</f>
        <v>10.24</v>
      </c>
      <c r="P131" s="54">
        <v>9609909000</v>
      </c>
      <c r="Q131" s="55">
        <v>1.7000000000000001E-2</v>
      </c>
      <c r="R131" s="16" t="s">
        <v>466</v>
      </c>
      <c r="S131" s="16">
        <v>7.99</v>
      </c>
      <c r="T131" s="16">
        <v>4.4999999999999998E-2</v>
      </c>
      <c r="U131" s="111" t="s">
        <v>375</v>
      </c>
    </row>
    <row r="132" spans="1:21" s="3" customFormat="1" ht="18" customHeight="1">
      <c r="A132" s="164">
        <v>130</v>
      </c>
      <c r="B132" s="23" t="s">
        <v>670</v>
      </c>
      <c r="C132" s="24" t="s">
        <v>80</v>
      </c>
      <c r="D132" s="16" t="s">
        <v>463</v>
      </c>
      <c r="E132" s="22" t="s">
        <v>81</v>
      </c>
      <c r="F132" s="19" t="s">
        <v>41</v>
      </c>
      <c r="G132" s="20" t="s">
        <v>464</v>
      </c>
      <c r="H132" s="19" t="s">
        <v>41</v>
      </c>
      <c r="I132" s="16" t="s">
        <v>665</v>
      </c>
      <c r="J132" s="42">
        <v>128</v>
      </c>
      <c r="K132" s="146">
        <f t="shared" si="4"/>
        <v>17.829999999999998</v>
      </c>
      <c r="L132" s="146">
        <v>19.329999999999998</v>
      </c>
      <c r="M132" s="25">
        <v>1</v>
      </c>
      <c r="N132" s="37">
        <v>0.08</v>
      </c>
      <c r="O132" s="37">
        <f t="shared" si="5"/>
        <v>10.24</v>
      </c>
      <c r="P132" s="54">
        <v>9609909000</v>
      </c>
      <c r="Q132" s="55">
        <v>1.7000000000000001E-2</v>
      </c>
      <c r="R132" s="16" t="s">
        <v>466</v>
      </c>
      <c r="S132" s="16">
        <v>7.99</v>
      </c>
      <c r="T132" s="16">
        <v>4.4999999999999998E-2</v>
      </c>
      <c r="U132" s="111" t="s">
        <v>375</v>
      </c>
    </row>
    <row r="133" spans="1:21" s="3" customFormat="1" ht="18" customHeight="1">
      <c r="A133" s="164">
        <v>131</v>
      </c>
      <c r="B133" s="23" t="s">
        <v>671</v>
      </c>
      <c r="C133" s="24" t="s">
        <v>80</v>
      </c>
      <c r="D133" s="16" t="s">
        <v>463</v>
      </c>
      <c r="E133" s="22" t="s">
        <v>81</v>
      </c>
      <c r="F133" s="19" t="s">
        <v>41</v>
      </c>
      <c r="G133" s="20" t="s">
        <v>464</v>
      </c>
      <c r="H133" s="19" t="s">
        <v>41</v>
      </c>
      <c r="I133" s="16" t="s">
        <v>665</v>
      </c>
      <c r="J133" s="42">
        <v>128</v>
      </c>
      <c r="K133" s="146">
        <f t="shared" si="4"/>
        <v>17.829999999999998</v>
      </c>
      <c r="L133" s="146">
        <v>19.329999999999998</v>
      </c>
      <c r="M133" s="25">
        <v>1</v>
      </c>
      <c r="N133" s="37">
        <v>0.08</v>
      </c>
      <c r="O133" s="37">
        <f t="shared" si="5"/>
        <v>10.24</v>
      </c>
      <c r="P133" s="54">
        <v>9609909000</v>
      </c>
      <c r="Q133" s="55">
        <v>1.7000000000000001E-2</v>
      </c>
      <c r="R133" s="16" t="s">
        <v>466</v>
      </c>
      <c r="S133" s="16">
        <v>7.99</v>
      </c>
      <c r="T133" s="16">
        <v>4.4999999999999998E-2</v>
      </c>
      <c r="U133" s="111" t="s">
        <v>375</v>
      </c>
    </row>
    <row r="134" spans="1:21" s="3" customFormat="1" ht="18" customHeight="1">
      <c r="A134" s="164">
        <v>132</v>
      </c>
      <c r="B134" s="23" t="s">
        <v>672</v>
      </c>
      <c r="C134" s="24" t="s">
        <v>383</v>
      </c>
      <c r="D134" s="16" t="s">
        <v>673</v>
      </c>
      <c r="E134" s="22" t="s">
        <v>384</v>
      </c>
      <c r="F134" s="19" t="s">
        <v>41</v>
      </c>
      <c r="G134" s="20" t="s">
        <v>674</v>
      </c>
      <c r="H134" s="19" t="s">
        <v>41</v>
      </c>
      <c r="I134" s="16" t="s">
        <v>675</v>
      </c>
      <c r="J134" s="16">
        <v>200</v>
      </c>
      <c r="K134" s="146">
        <f t="shared" si="4"/>
        <v>17.829999999999998</v>
      </c>
      <c r="L134" s="146">
        <v>19.329999999999998</v>
      </c>
      <c r="M134" s="25">
        <v>1</v>
      </c>
      <c r="N134" s="37">
        <v>0.11</v>
      </c>
      <c r="O134" s="37">
        <f t="shared" si="5"/>
        <v>22</v>
      </c>
      <c r="P134" s="54">
        <v>8203200000</v>
      </c>
      <c r="Q134" s="55">
        <v>1.7000000000000001E-2</v>
      </c>
      <c r="R134" s="131" t="s">
        <v>676</v>
      </c>
      <c r="S134" s="132">
        <v>17.989999999999998</v>
      </c>
      <c r="T134" s="132">
        <v>0.1</v>
      </c>
      <c r="U134" s="133" t="s">
        <v>387</v>
      </c>
    </row>
    <row r="135" spans="1:21" s="3" customFormat="1" ht="18" customHeight="1">
      <c r="A135" s="164">
        <v>133</v>
      </c>
      <c r="B135" s="23" t="s">
        <v>677</v>
      </c>
      <c r="C135" s="24" t="s">
        <v>383</v>
      </c>
      <c r="D135" s="16" t="s">
        <v>673</v>
      </c>
      <c r="E135" s="22" t="s">
        <v>384</v>
      </c>
      <c r="F135" s="19" t="s">
        <v>41</v>
      </c>
      <c r="G135" s="20" t="s">
        <v>674</v>
      </c>
      <c r="H135" s="19" t="s">
        <v>41</v>
      </c>
      <c r="I135" s="16" t="s">
        <v>675</v>
      </c>
      <c r="J135" s="16">
        <v>200</v>
      </c>
      <c r="K135" s="146">
        <f t="shared" si="4"/>
        <v>17.84</v>
      </c>
      <c r="L135" s="146">
        <v>19.34</v>
      </c>
      <c r="M135" s="25">
        <v>1</v>
      </c>
      <c r="N135" s="37">
        <v>0.11</v>
      </c>
      <c r="O135" s="37">
        <f t="shared" si="5"/>
        <v>22</v>
      </c>
      <c r="P135" s="54">
        <v>8203200000</v>
      </c>
      <c r="Q135" s="55">
        <v>1.7000000000000001E-2</v>
      </c>
      <c r="R135" s="131" t="s">
        <v>676</v>
      </c>
      <c r="S135" s="132">
        <v>17.989999999999998</v>
      </c>
      <c r="T135" s="132">
        <v>0.1</v>
      </c>
      <c r="U135" s="133" t="s">
        <v>387</v>
      </c>
    </row>
    <row r="136" spans="1:21" s="3" customFormat="1" ht="18" customHeight="1">
      <c r="A136" s="164">
        <v>134</v>
      </c>
      <c r="B136" s="15" t="s">
        <v>678</v>
      </c>
      <c r="C136" s="24" t="s">
        <v>390</v>
      </c>
      <c r="D136" s="16" t="s">
        <v>679</v>
      </c>
      <c r="E136" s="22" t="s">
        <v>391</v>
      </c>
      <c r="F136" s="16" t="s">
        <v>392</v>
      </c>
      <c r="G136" s="16" t="s">
        <v>680</v>
      </c>
      <c r="H136" s="16" t="s">
        <v>392</v>
      </c>
      <c r="I136" s="26" t="s">
        <v>681</v>
      </c>
      <c r="J136" s="15">
        <v>50</v>
      </c>
      <c r="K136" s="146">
        <f t="shared" si="4"/>
        <v>15.27</v>
      </c>
      <c r="L136" s="146">
        <v>16.77</v>
      </c>
      <c r="M136" s="25">
        <v>1</v>
      </c>
      <c r="N136" s="37">
        <v>0.25</v>
      </c>
      <c r="O136" s="37">
        <f t="shared" si="5"/>
        <v>12.5</v>
      </c>
      <c r="P136" s="54">
        <v>8539500000</v>
      </c>
      <c r="Q136" s="55">
        <v>3.6999999999999998E-2</v>
      </c>
      <c r="R136" s="103" t="s">
        <v>682</v>
      </c>
      <c r="S136" s="103">
        <v>14.99</v>
      </c>
      <c r="T136" s="103">
        <v>0.36</v>
      </c>
      <c r="U136" s="134" t="s">
        <v>395</v>
      </c>
    </row>
    <row r="137" spans="1:21" s="3" customFormat="1" ht="18" customHeight="1">
      <c r="A137" s="164">
        <v>135</v>
      </c>
      <c r="B137" s="15" t="s">
        <v>683</v>
      </c>
      <c r="C137" s="24" t="s">
        <v>390</v>
      </c>
      <c r="D137" s="16" t="s">
        <v>679</v>
      </c>
      <c r="E137" s="22" t="s">
        <v>391</v>
      </c>
      <c r="F137" s="16" t="s">
        <v>392</v>
      </c>
      <c r="G137" s="16" t="s">
        <v>680</v>
      </c>
      <c r="H137" s="16" t="s">
        <v>392</v>
      </c>
      <c r="I137" s="26" t="s">
        <v>681</v>
      </c>
      <c r="J137" s="15">
        <v>50</v>
      </c>
      <c r="K137" s="146">
        <f t="shared" si="4"/>
        <v>15.280000000000001</v>
      </c>
      <c r="L137" s="146">
        <v>16.78</v>
      </c>
      <c r="M137" s="25">
        <v>1</v>
      </c>
      <c r="N137" s="37">
        <v>0.25</v>
      </c>
      <c r="O137" s="37">
        <f t="shared" si="5"/>
        <v>12.5</v>
      </c>
      <c r="P137" s="54">
        <v>8539500000</v>
      </c>
      <c r="Q137" s="55">
        <v>3.6999999999999998E-2</v>
      </c>
      <c r="R137" s="103" t="s">
        <v>682</v>
      </c>
      <c r="S137" s="103">
        <v>14.99</v>
      </c>
      <c r="T137" s="103">
        <v>0.36</v>
      </c>
      <c r="U137" s="135" t="s">
        <v>395</v>
      </c>
    </row>
    <row r="138" spans="1:21" s="3" customFormat="1" ht="18" customHeight="1">
      <c r="A138" s="164">
        <v>136</v>
      </c>
      <c r="B138" s="15" t="s">
        <v>684</v>
      </c>
      <c r="C138" s="24" t="s">
        <v>390</v>
      </c>
      <c r="D138" s="16" t="s">
        <v>679</v>
      </c>
      <c r="E138" s="22" t="s">
        <v>391</v>
      </c>
      <c r="F138" s="16" t="s">
        <v>392</v>
      </c>
      <c r="G138" s="16" t="s">
        <v>680</v>
      </c>
      <c r="H138" s="16" t="s">
        <v>392</v>
      </c>
      <c r="I138" s="26" t="s">
        <v>681</v>
      </c>
      <c r="J138" s="15">
        <v>45</v>
      </c>
      <c r="K138" s="146">
        <f t="shared" si="4"/>
        <v>19.100000000000001</v>
      </c>
      <c r="L138" s="146">
        <v>20.6</v>
      </c>
      <c r="M138" s="25">
        <v>1</v>
      </c>
      <c r="N138" s="37">
        <v>0.25</v>
      </c>
      <c r="O138" s="37">
        <f t="shared" si="5"/>
        <v>11.25</v>
      </c>
      <c r="P138" s="54">
        <v>8539500000</v>
      </c>
      <c r="Q138" s="55">
        <v>3.6999999999999998E-2</v>
      </c>
      <c r="R138" s="103" t="s">
        <v>682</v>
      </c>
      <c r="S138" s="103">
        <v>14.99</v>
      </c>
      <c r="T138" s="103">
        <v>0.36</v>
      </c>
      <c r="U138" s="135" t="s">
        <v>398</v>
      </c>
    </row>
    <row r="139" spans="1:21" s="3" customFormat="1" ht="18" customHeight="1">
      <c r="A139" s="164">
        <v>137</v>
      </c>
      <c r="B139" s="15" t="s">
        <v>685</v>
      </c>
      <c r="C139" s="24" t="s">
        <v>390</v>
      </c>
      <c r="D139" s="16" t="s">
        <v>679</v>
      </c>
      <c r="E139" s="22" t="s">
        <v>391</v>
      </c>
      <c r="F139" s="16" t="s">
        <v>392</v>
      </c>
      <c r="G139" s="16" t="s">
        <v>680</v>
      </c>
      <c r="H139" s="16" t="s">
        <v>392</v>
      </c>
      <c r="I139" s="26" t="s">
        <v>681</v>
      </c>
      <c r="J139" s="15">
        <v>45</v>
      </c>
      <c r="K139" s="146">
        <f t="shared" si="4"/>
        <v>19.100000000000001</v>
      </c>
      <c r="L139" s="146">
        <v>20.6</v>
      </c>
      <c r="M139" s="25">
        <v>1</v>
      </c>
      <c r="N139" s="37">
        <v>0.25</v>
      </c>
      <c r="O139" s="37">
        <f t="shared" si="5"/>
        <v>11.25</v>
      </c>
      <c r="P139" s="54">
        <v>8539500000</v>
      </c>
      <c r="Q139" s="55">
        <v>3.6999999999999998E-2</v>
      </c>
      <c r="R139" s="103" t="s">
        <v>682</v>
      </c>
      <c r="S139" s="103">
        <v>14.99</v>
      </c>
      <c r="T139" s="103">
        <v>0.36</v>
      </c>
      <c r="U139" s="135" t="s">
        <v>398</v>
      </c>
    </row>
    <row r="140" spans="1:21" s="3" customFormat="1" ht="18" customHeight="1">
      <c r="A140" s="164">
        <v>138</v>
      </c>
      <c r="B140" s="15" t="s">
        <v>686</v>
      </c>
      <c r="C140" s="24" t="s">
        <v>390</v>
      </c>
      <c r="D140" s="16" t="s">
        <v>679</v>
      </c>
      <c r="E140" s="22" t="s">
        <v>391</v>
      </c>
      <c r="F140" s="16" t="s">
        <v>392</v>
      </c>
      <c r="G140" s="16" t="s">
        <v>680</v>
      </c>
      <c r="H140" s="16" t="s">
        <v>392</v>
      </c>
      <c r="I140" s="26" t="s">
        <v>681</v>
      </c>
      <c r="J140" s="15">
        <v>45</v>
      </c>
      <c r="K140" s="146">
        <f t="shared" si="4"/>
        <v>19.100000000000001</v>
      </c>
      <c r="L140" s="146">
        <v>20.6</v>
      </c>
      <c r="M140" s="25">
        <v>1</v>
      </c>
      <c r="N140" s="37">
        <v>0.25</v>
      </c>
      <c r="O140" s="37">
        <f t="shared" si="5"/>
        <v>11.25</v>
      </c>
      <c r="P140" s="54">
        <v>8539500000</v>
      </c>
      <c r="Q140" s="55">
        <v>3.6999999999999998E-2</v>
      </c>
      <c r="R140" s="103" t="s">
        <v>682</v>
      </c>
      <c r="S140" s="103">
        <v>14.99</v>
      </c>
      <c r="T140" s="103">
        <v>0.36</v>
      </c>
      <c r="U140" s="135" t="s">
        <v>401</v>
      </c>
    </row>
    <row r="141" spans="1:21" s="3" customFormat="1" ht="18" customHeight="1">
      <c r="A141" s="164">
        <v>139</v>
      </c>
      <c r="B141" s="15" t="s">
        <v>687</v>
      </c>
      <c r="C141" s="24" t="s">
        <v>390</v>
      </c>
      <c r="D141" s="16" t="s">
        <v>679</v>
      </c>
      <c r="E141" s="22" t="s">
        <v>391</v>
      </c>
      <c r="F141" s="16" t="s">
        <v>392</v>
      </c>
      <c r="G141" s="16" t="s">
        <v>680</v>
      </c>
      <c r="H141" s="16" t="s">
        <v>392</v>
      </c>
      <c r="I141" s="26" t="s">
        <v>681</v>
      </c>
      <c r="J141" s="15">
        <v>45</v>
      </c>
      <c r="K141" s="146">
        <f t="shared" si="4"/>
        <v>19.100000000000001</v>
      </c>
      <c r="L141" s="146">
        <v>20.6</v>
      </c>
      <c r="M141" s="25">
        <v>1</v>
      </c>
      <c r="N141" s="37">
        <v>0.25</v>
      </c>
      <c r="O141" s="37">
        <f t="shared" si="5"/>
        <v>11.25</v>
      </c>
      <c r="P141" s="54">
        <v>8539500000</v>
      </c>
      <c r="Q141" s="55">
        <v>3.6999999999999998E-2</v>
      </c>
      <c r="R141" s="103" t="s">
        <v>682</v>
      </c>
      <c r="S141" s="103">
        <v>14.99</v>
      </c>
      <c r="T141" s="103">
        <v>0.36</v>
      </c>
      <c r="U141" s="135" t="s">
        <v>401</v>
      </c>
    </row>
    <row r="142" spans="1:21" s="3" customFormat="1" ht="18" customHeight="1">
      <c r="A142" s="164">
        <v>140</v>
      </c>
      <c r="B142" s="15" t="s">
        <v>688</v>
      </c>
      <c r="C142" s="24" t="s">
        <v>390</v>
      </c>
      <c r="D142" s="16" t="s">
        <v>679</v>
      </c>
      <c r="E142" s="22" t="s">
        <v>391</v>
      </c>
      <c r="F142" s="16" t="s">
        <v>392</v>
      </c>
      <c r="G142" s="16" t="s">
        <v>680</v>
      </c>
      <c r="H142" s="16" t="s">
        <v>392</v>
      </c>
      <c r="I142" s="26" t="s">
        <v>681</v>
      </c>
      <c r="J142" s="15">
        <v>45</v>
      </c>
      <c r="K142" s="146">
        <f t="shared" si="4"/>
        <v>19.100000000000001</v>
      </c>
      <c r="L142" s="146">
        <v>20.6</v>
      </c>
      <c r="M142" s="25">
        <v>1</v>
      </c>
      <c r="N142" s="37">
        <v>0.25</v>
      </c>
      <c r="O142" s="37">
        <f t="shared" si="5"/>
        <v>11.25</v>
      </c>
      <c r="P142" s="54">
        <v>8539500000</v>
      </c>
      <c r="Q142" s="55">
        <v>3.6999999999999998E-2</v>
      </c>
      <c r="R142" s="103" t="s">
        <v>682</v>
      </c>
      <c r="S142" s="103">
        <v>14.99</v>
      </c>
      <c r="T142" s="103">
        <v>0.36</v>
      </c>
      <c r="U142" s="135" t="s">
        <v>404</v>
      </c>
    </row>
    <row r="143" spans="1:21" s="3" customFormat="1" ht="18" customHeight="1">
      <c r="A143" s="164">
        <v>141</v>
      </c>
      <c r="B143" s="15" t="s">
        <v>689</v>
      </c>
      <c r="C143" s="24" t="s">
        <v>390</v>
      </c>
      <c r="D143" s="16" t="s">
        <v>679</v>
      </c>
      <c r="E143" s="22" t="s">
        <v>391</v>
      </c>
      <c r="F143" s="16" t="s">
        <v>392</v>
      </c>
      <c r="G143" s="16" t="s">
        <v>680</v>
      </c>
      <c r="H143" s="16" t="s">
        <v>392</v>
      </c>
      <c r="I143" s="26" t="s">
        <v>681</v>
      </c>
      <c r="J143" s="15">
        <v>45</v>
      </c>
      <c r="K143" s="146">
        <f t="shared" si="4"/>
        <v>19.100000000000001</v>
      </c>
      <c r="L143" s="146">
        <v>20.6</v>
      </c>
      <c r="M143" s="25">
        <v>1</v>
      </c>
      <c r="N143" s="37">
        <v>0.25</v>
      </c>
      <c r="O143" s="37">
        <f t="shared" si="5"/>
        <v>11.25</v>
      </c>
      <c r="P143" s="54">
        <v>8539500000</v>
      </c>
      <c r="Q143" s="55">
        <v>3.6999999999999998E-2</v>
      </c>
      <c r="R143" s="103" t="s">
        <v>682</v>
      </c>
      <c r="S143" s="103">
        <v>14.99</v>
      </c>
      <c r="T143" s="103">
        <v>0.36</v>
      </c>
      <c r="U143" s="135" t="s">
        <v>404</v>
      </c>
    </row>
    <row r="144" spans="1:21" s="3" customFormat="1" ht="18" customHeight="1">
      <c r="A144" s="119"/>
      <c r="B144" s="175" t="s">
        <v>406</v>
      </c>
      <c r="C144" s="176"/>
      <c r="D144" s="16"/>
      <c r="E144" s="176"/>
      <c r="F144" s="122"/>
      <c r="G144" s="122"/>
      <c r="H144" s="114"/>
      <c r="I144" s="121"/>
      <c r="J144" s="122">
        <f>SUM(J3:J143)</f>
        <v>6079</v>
      </c>
      <c r="K144" s="123">
        <f>SUM(K3:K143)</f>
        <v>1355.8799999999983</v>
      </c>
      <c r="L144" s="123">
        <f>SUM(L1:L143)</f>
        <v>1489.3799999999981</v>
      </c>
      <c r="M144" s="113">
        <f>SUM(M3:M143)</f>
        <v>89</v>
      </c>
      <c r="N144" s="125"/>
      <c r="O144" s="125">
        <f>SUM(O3:O143)</f>
        <v>2456.4699999999975</v>
      </c>
      <c r="P144" s="136"/>
      <c r="Q144" s="137"/>
      <c r="R144" s="138"/>
      <c r="S144" s="138"/>
      <c r="T144" s="138"/>
      <c r="U144" s="139"/>
    </row>
    <row r="145" spans="1:20" s="3" customFormat="1" ht="18" customHeight="1">
      <c r="A145" s="119"/>
      <c r="N145" s="6"/>
      <c r="O145" s="6"/>
      <c r="Q145" s="7"/>
      <c r="R145" s="8"/>
      <c r="S145" s="8"/>
      <c r="T145" s="8"/>
    </row>
    <row r="146" spans="1:20" s="3" customFormat="1" ht="18" customHeight="1">
      <c r="A146" s="119"/>
      <c r="B146" s="357" t="s">
        <v>407</v>
      </c>
      <c r="C146" s="357"/>
      <c r="D146" s="178"/>
      <c r="E146" s="179">
        <f>M144</f>
        <v>89</v>
      </c>
      <c r="F146" s="3" t="s">
        <v>408</v>
      </c>
      <c r="N146" s="6"/>
      <c r="O146" s="6"/>
      <c r="Q146" s="7"/>
      <c r="R146" s="8"/>
      <c r="S146" s="8"/>
      <c r="T146" s="8"/>
    </row>
    <row r="147" spans="1:20" s="3" customFormat="1" ht="18" customHeight="1">
      <c r="A147" s="119"/>
      <c r="B147" s="177" t="s">
        <v>409</v>
      </c>
      <c r="C147" s="180">
        <f>J144</f>
        <v>6079</v>
      </c>
      <c r="D147" s="181"/>
      <c r="N147" s="6"/>
      <c r="O147" s="6"/>
      <c r="Q147" s="7"/>
      <c r="R147" s="8"/>
      <c r="S147" s="8"/>
      <c r="T147" s="8"/>
    </row>
    <row r="148" spans="1:20" s="3" customFormat="1" ht="18" customHeight="1">
      <c r="A148" s="119"/>
      <c r="B148" s="3" t="s">
        <v>410</v>
      </c>
      <c r="C148" s="180">
        <f>K144</f>
        <v>1355.8799999999983</v>
      </c>
      <c r="D148" s="181"/>
      <c r="N148" s="6"/>
      <c r="O148" s="6"/>
      <c r="Q148" s="7"/>
      <c r="R148" s="8"/>
      <c r="S148" s="8"/>
      <c r="T148" s="8"/>
    </row>
    <row r="149" spans="1:20" s="3" customFormat="1" ht="18" customHeight="1">
      <c r="A149" s="119"/>
      <c r="B149" s="3" t="s">
        <v>411</v>
      </c>
      <c r="C149" s="182">
        <f>L144</f>
        <v>1489.3799999999981</v>
      </c>
      <c r="D149" s="183"/>
      <c r="N149" s="6"/>
      <c r="O149" s="6"/>
      <c r="Q149" s="7"/>
      <c r="R149" s="8"/>
      <c r="S149" s="8"/>
      <c r="T149" s="8"/>
    </row>
    <row r="150" spans="1:20" s="3" customFormat="1" ht="18" customHeight="1">
      <c r="A150" s="119"/>
      <c r="N150" s="6"/>
      <c r="O150" s="6"/>
      <c r="Q150" s="7"/>
      <c r="R150" s="8"/>
      <c r="S150" s="8"/>
      <c r="T150" s="8"/>
    </row>
    <row r="151" spans="1:20" s="3" customFormat="1" ht="18" customHeight="1">
      <c r="A151" s="119"/>
      <c r="N151" s="6"/>
      <c r="O151" s="6"/>
      <c r="Q151" s="7"/>
      <c r="R151" s="8"/>
      <c r="S151" s="8"/>
      <c r="T151" s="8"/>
    </row>
    <row r="152" spans="1:20" s="3" customFormat="1" ht="18" customHeight="1">
      <c r="A152" s="119"/>
      <c r="D152" s="116" t="s">
        <v>690</v>
      </c>
      <c r="N152" s="6"/>
      <c r="O152" s="6"/>
      <c r="Q152" s="7"/>
      <c r="R152" s="8"/>
      <c r="S152" s="8"/>
      <c r="T152" s="8"/>
    </row>
    <row r="153" spans="1:20" s="3" customFormat="1" ht="18" customHeight="1">
      <c r="A153" s="119"/>
      <c r="N153" s="6"/>
      <c r="O153" s="6"/>
      <c r="Q153" s="7"/>
      <c r="R153" s="8"/>
      <c r="S153" s="8"/>
      <c r="T153" s="8"/>
    </row>
    <row r="154" spans="1:20" s="3" customFormat="1" ht="18" customHeight="1">
      <c r="A154" s="119"/>
      <c r="N154" s="6"/>
      <c r="O154" s="6"/>
      <c r="Q154" s="7"/>
      <c r="R154" s="8"/>
      <c r="S154" s="8"/>
      <c r="T154" s="8"/>
    </row>
    <row r="155" spans="1:20" s="3" customFormat="1" ht="18" customHeight="1">
      <c r="A155" s="119"/>
      <c r="N155" s="6"/>
      <c r="O155" s="6"/>
      <c r="Q155" s="7"/>
      <c r="R155" s="8"/>
      <c r="S155" s="8"/>
      <c r="T155" s="8"/>
    </row>
    <row r="156" spans="1:20" s="3" customFormat="1" ht="18" customHeight="1">
      <c r="A156" s="119"/>
      <c r="N156" s="6"/>
      <c r="O156" s="6"/>
      <c r="Q156" s="7"/>
      <c r="R156" s="8"/>
      <c r="S156" s="8"/>
      <c r="T156" s="8"/>
    </row>
    <row r="157" spans="1:20" s="3" customFormat="1" ht="18" customHeight="1">
      <c r="A157" s="119"/>
      <c r="N157" s="6"/>
      <c r="O157" s="6"/>
      <c r="Q157" s="7"/>
      <c r="R157" s="8"/>
      <c r="S157" s="8"/>
      <c r="T157" s="8"/>
    </row>
    <row r="158" spans="1:20" s="3" customFormat="1" ht="18" customHeight="1">
      <c r="A158" s="119"/>
      <c r="I158" s="5"/>
      <c r="N158" s="6"/>
      <c r="O158" s="6"/>
      <c r="Q158" s="7"/>
      <c r="R158" s="8"/>
      <c r="S158" s="8"/>
      <c r="T158" s="8"/>
    </row>
    <row r="159" spans="1:20" s="3" customFormat="1" ht="18" customHeight="1">
      <c r="A159" s="119"/>
      <c r="I159" s="5"/>
      <c r="N159" s="6"/>
      <c r="O159" s="6"/>
      <c r="Q159" s="7"/>
      <c r="R159" s="8"/>
      <c r="S159" s="8"/>
      <c r="T159" s="8"/>
    </row>
    <row r="160" spans="1:20" s="3" customFormat="1" ht="18" customHeight="1">
      <c r="A160" s="119"/>
      <c r="I160" s="5"/>
      <c r="N160" s="6"/>
      <c r="O160" s="6"/>
      <c r="Q160" s="7"/>
      <c r="R160" s="8"/>
      <c r="S160" s="8"/>
      <c r="T160" s="8"/>
    </row>
    <row r="161" spans="1:20" s="3" customFormat="1" ht="18" customHeight="1">
      <c r="A161" s="119"/>
      <c r="I161" s="5"/>
      <c r="N161" s="6"/>
      <c r="O161" s="6"/>
      <c r="Q161" s="7"/>
      <c r="R161" s="8"/>
      <c r="S161" s="8"/>
      <c r="T161" s="8"/>
    </row>
    <row r="162" spans="1:20" s="3" customFormat="1" ht="18" customHeight="1">
      <c r="A162" s="119"/>
      <c r="I162" s="5"/>
      <c r="N162" s="6"/>
      <c r="O162" s="6"/>
      <c r="Q162" s="7"/>
      <c r="R162" s="8"/>
      <c r="S162" s="8"/>
      <c r="T162" s="8"/>
    </row>
    <row r="163" spans="1:20" s="3" customFormat="1" ht="18" customHeight="1">
      <c r="A163" s="119"/>
      <c r="I163" s="5"/>
      <c r="N163" s="6"/>
      <c r="O163" s="6"/>
      <c r="Q163" s="7"/>
      <c r="R163" s="8"/>
      <c r="S163" s="8"/>
      <c r="T163" s="8"/>
    </row>
    <row r="164" spans="1:20" s="3" customFormat="1" ht="18" customHeight="1">
      <c r="A164" s="119"/>
      <c r="I164" s="5"/>
      <c r="N164" s="6"/>
      <c r="O164" s="6"/>
      <c r="Q164" s="7"/>
      <c r="R164" s="8"/>
      <c r="S164" s="8"/>
      <c r="T164" s="8"/>
    </row>
    <row r="165" spans="1:20" s="3" customFormat="1" ht="18" customHeight="1">
      <c r="A165" s="119"/>
      <c r="I165" s="5"/>
      <c r="N165" s="6"/>
      <c r="O165" s="6"/>
      <c r="Q165" s="7"/>
      <c r="R165" s="8"/>
      <c r="S165" s="8"/>
      <c r="T165" s="8"/>
    </row>
    <row r="166" spans="1:20" s="3" customFormat="1" ht="18" customHeight="1">
      <c r="A166" s="119"/>
      <c r="I166" s="5"/>
      <c r="N166" s="6"/>
      <c r="O166" s="6"/>
      <c r="Q166" s="7"/>
      <c r="R166" s="8"/>
      <c r="S166" s="8"/>
      <c r="T166" s="8"/>
    </row>
    <row r="167" spans="1:20" s="3" customFormat="1" ht="18" customHeight="1">
      <c r="A167" s="119"/>
      <c r="I167" s="5"/>
      <c r="N167" s="6"/>
      <c r="O167" s="6"/>
      <c r="Q167" s="7"/>
      <c r="R167" s="8"/>
      <c r="S167" s="8"/>
      <c r="T167" s="8"/>
    </row>
    <row r="168" spans="1:20" s="3" customFormat="1" ht="18" customHeight="1">
      <c r="A168" s="119"/>
      <c r="I168" s="5"/>
      <c r="N168" s="6"/>
      <c r="O168" s="6"/>
      <c r="Q168" s="7"/>
      <c r="R168" s="8"/>
      <c r="S168" s="8"/>
      <c r="T168" s="8"/>
    </row>
    <row r="169" spans="1:20" s="3" customFormat="1" ht="18" customHeight="1">
      <c r="A169" s="119"/>
      <c r="I169" s="5"/>
      <c r="N169" s="6"/>
      <c r="O169" s="6"/>
      <c r="Q169" s="7"/>
      <c r="R169" s="8"/>
      <c r="S169" s="8"/>
      <c r="T169" s="8"/>
    </row>
    <row r="170" spans="1:20" s="3" customFormat="1" ht="18" customHeight="1">
      <c r="A170" s="119"/>
      <c r="I170" s="5"/>
      <c r="N170" s="6"/>
      <c r="O170" s="6"/>
      <c r="Q170" s="7"/>
      <c r="R170" s="8"/>
      <c r="S170" s="8"/>
      <c r="T170" s="8"/>
    </row>
    <row r="171" spans="1:20" s="3" customFormat="1" ht="18" customHeight="1">
      <c r="A171" s="119"/>
      <c r="I171" s="5"/>
      <c r="N171" s="6"/>
      <c r="O171" s="6"/>
      <c r="Q171" s="7"/>
      <c r="R171" s="8"/>
      <c r="S171" s="8"/>
      <c r="T171" s="8"/>
    </row>
    <row r="172" spans="1:20" s="3" customFormat="1" ht="18" customHeight="1">
      <c r="A172" s="119"/>
      <c r="I172" s="5"/>
      <c r="N172" s="6"/>
      <c r="O172" s="6"/>
      <c r="Q172" s="7"/>
      <c r="R172" s="8"/>
      <c r="S172" s="8"/>
      <c r="T172" s="8"/>
    </row>
    <row r="173" spans="1:20" s="3" customFormat="1" ht="18" customHeight="1">
      <c r="A173" s="119"/>
      <c r="I173" s="5"/>
      <c r="N173" s="6"/>
      <c r="O173" s="6"/>
      <c r="Q173" s="7"/>
      <c r="R173" s="8"/>
      <c r="S173" s="8"/>
      <c r="T173" s="8"/>
    </row>
    <row r="174" spans="1:20" s="3" customFormat="1" ht="18" customHeight="1">
      <c r="A174" s="119"/>
      <c r="I174" s="5"/>
      <c r="N174" s="6"/>
      <c r="O174" s="6"/>
      <c r="Q174" s="7"/>
      <c r="R174" s="8"/>
      <c r="S174" s="8"/>
      <c r="T174" s="8"/>
    </row>
    <row r="175" spans="1:20" s="3" customFormat="1" ht="18" customHeight="1">
      <c r="A175" s="119"/>
      <c r="I175" s="5"/>
      <c r="N175" s="6"/>
      <c r="O175" s="6"/>
      <c r="Q175" s="7"/>
      <c r="R175" s="8"/>
      <c r="S175" s="8"/>
      <c r="T175" s="8"/>
    </row>
    <row r="176" spans="1:20" s="3" customFormat="1" ht="18" customHeight="1">
      <c r="A176" s="119"/>
      <c r="I176" s="5"/>
      <c r="N176" s="6"/>
      <c r="O176" s="6"/>
      <c r="Q176" s="7"/>
      <c r="R176" s="8"/>
      <c r="S176" s="8"/>
      <c r="T176" s="8"/>
    </row>
    <row r="177" spans="1:20" s="3" customFormat="1" ht="18" customHeight="1">
      <c r="A177" s="119"/>
      <c r="I177" s="5"/>
      <c r="N177" s="6"/>
      <c r="O177" s="6"/>
      <c r="Q177" s="7"/>
      <c r="R177" s="8"/>
      <c r="S177" s="8"/>
      <c r="T177" s="8"/>
    </row>
    <row r="178" spans="1:20" s="3" customFormat="1" ht="18" customHeight="1">
      <c r="A178" s="119"/>
      <c r="I178" s="5"/>
      <c r="N178" s="6"/>
      <c r="O178" s="6"/>
      <c r="Q178" s="7"/>
      <c r="R178" s="8"/>
      <c r="S178" s="8"/>
      <c r="T178" s="8"/>
    </row>
    <row r="179" spans="1:20" s="3" customFormat="1" ht="18" customHeight="1">
      <c r="A179" s="119"/>
      <c r="I179" s="5"/>
      <c r="N179" s="6"/>
      <c r="O179" s="6"/>
      <c r="Q179" s="7"/>
      <c r="R179" s="8"/>
      <c r="S179" s="8"/>
      <c r="T179" s="8"/>
    </row>
    <row r="180" spans="1:20" s="3" customFormat="1" ht="18" customHeight="1">
      <c r="A180" s="119"/>
      <c r="I180" s="5"/>
      <c r="N180" s="6"/>
      <c r="O180" s="6"/>
      <c r="Q180" s="7"/>
      <c r="R180" s="8"/>
      <c r="S180" s="8"/>
      <c r="T180" s="8"/>
    </row>
    <row r="181" spans="1:20" s="3" customFormat="1" ht="18" customHeight="1">
      <c r="A181" s="119"/>
      <c r="I181" s="5"/>
      <c r="N181" s="6"/>
      <c r="O181" s="6"/>
      <c r="Q181" s="7"/>
      <c r="R181" s="8"/>
      <c r="S181" s="8"/>
      <c r="T181" s="8"/>
    </row>
    <row r="182" spans="1:20" s="3" customFormat="1" ht="18" customHeight="1">
      <c r="A182" s="119"/>
      <c r="I182" s="5"/>
      <c r="N182" s="6"/>
      <c r="O182" s="6"/>
      <c r="Q182" s="7"/>
      <c r="R182" s="8"/>
      <c r="S182" s="8"/>
      <c r="T182" s="8"/>
    </row>
    <row r="183" spans="1:20" s="3" customFormat="1" ht="18" customHeight="1">
      <c r="A183" s="119"/>
      <c r="I183" s="5"/>
      <c r="N183" s="6"/>
      <c r="O183" s="6"/>
      <c r="Q183" s="7"/>
      <c r="R183" s="8"/>
      <c r="S183" s="8"/>
      <c r="T183" s="8"/>
    </row>
    <row r="184" spans="1:20" s="3" customFormat="1" ht="18" customHeight="1">
      <c r="A184" s="119"/>
      <c r="I184" s="5"/>
      <c r="N184" s="6"/>
      <c r="O184" s="6"/>
      <c r="Q184" s="7"/>
      <c r="R184" s="8"/>
      <c r="S184" s="8"/>
      <c r="T184" s="8"/>
    </row>
    <row r="185" spans="1:20" s="3" customFormat="1" ht="18" customHeight="1">
      <c r="A185" s="119"/>
      <c r="I185" s="5"/>
      <c r="N185" s="6"/>
      <c r="O185" s="6"/>
      <c r="Q185" s="7"/>
      <c r="R185" s="8"/>
      <c r="S185" s="8"/>
      <c r="T185" s="8"/>
    </row>
    <row r="186" spans="1:20" s="3" customFormat="1" ht="18" customHeight="1">
      <c r="A186" s="119"/>
      <c r="I186" s="5"/>
      <c r="N186" s="6"/>
      <c r="O186" s="6"/>
      <c r="Q186" s="7"/>
      <c r="R186" s="8"/>
      <c r="S186" s="8"/>
      <c r="T186" s="8"/>
    </row>
    <row r="187" spans="1:20" s="3" customFormat="1" ht="18" customHeight="1">
      <c r="A187" s="119"/>
      <c r="I187" s="5"/>
      <c r="N187" s="6"/>
      <c r="O187" s="6"/>
      <c r="Q187" s="7"/>
      <c r="R187" s="8"/>
      <c r="S187" s="8"/>
      <c r="T187" s="8"/>
    </row>
    <row r="188" spans="1:20" s="3" customFormat="1" ht="18" customHeight="1">
      <c r="A188" s="119"/>
      <c r="I188" s="5"/>
      <c r="N188" s="6"/>
      <c r="O188" s="6"/>
      <c r="Q188" s="7"/>
      <c r="R188" s="8"/>
      <c r="S188" s="8"/>
      <c r="T188" s="8"/>
    </row>
    <row r="189" spans="1:20" s="3" customFormat="1" ht="18" customHeight="1">
      <c r="A189" s="119"/>
      <c r="I189" s="5"/>
      <c r="N189" s="6"/>
      <c r="O189" s="6"/>
      <c r="Q189" s="7"/>
      <c r="R189" s="8"/>
      <c r="S189" s="8"/>
      <c r="T189" s="8"/>
    </row>
    <row r="190" spans="1:20" s="3" customFormat="1" ht="18" customHeight="1">
      <c r="A190" s="119"/>
      <c r="I190" s="5"/>
      <c r="N190" s="6"/>
      <c r="O190" s="6"/>
      <c r="Q190" s="7"/>
      <c r="R190" s="8"/>
      <c r="S190" s="8"/>
      <c r="T190" s="8"/>
    </row>
    <row r="191" spans="1:20" s="3" customFormat="1" ht="18" customHeight="1">
      <c r="A191" s="119"/>
      <c r="I191" s="5"/>
      <c r="N191" s="6"/>
      <c r="O191" s="6"/>
      <c r="Q191" s="7"/>
      <c r="R191" s="8"/>
      <c r="S191" s="8"/>
      <c r="T191" s="8"/>
    </row>
    <row r="192" spans="1:20" s="3" customFormat="1" ht="18" customHeight="1">
      <c r="A192" s="119"/>
      <c r="I192" s="5"/>
      <c r="N192" s="6"/>
      <c r="O192" s="6"/>
      <c r="Q192" s="7"/>
      <c r="R192" s="8"/>
      <c r="S192" s="8"/>
      <c r="T192" s="8"/>
    </row>
    <row r="193" spans="1:20" s="3" customFormat="1" ht="18" customHeight="1">
      <c r="A193" s="119"/>
      <c r="I193" s="5"/>
      <c r="N193" s="6"/>
      <c r="O193" s="6"/>
      <c r="Q193" s="7"/>
      <c r="R193" s="8"/>
      <c r="S193" s="8"/>
      <c r="T193" s="8"/>
    </row>
    <row r="194" spans="1:20" s="3" customFormat="1" ht="18" customHeight="1">
      <c r="A194" s="119"/>
      <c r="I194" s="5"/>
      <c r="N194" s="6"/>
      <c r="O194" s="6"/>
      <c r="Q194" s="7"/>
      <c r="R194" s="8"/>
      <c r="S194" s="8"/>
      <c r="T194" s="8"/>
    </row>
    <row r="195" spans="1:20" s="3" customFormat="1" ht="18" customHeight="1">
      <c r="A195" s="119"/>
      <c r="I195" s="5"/>
      <c r="N195" s="6"/>
      <c r="O195" s="6"/>
      <c r="Q195" s="7"/>
      <c r="R195" s="8"/>
      <c r="S195" s="8"/>
      <c r="T195" s="8"/>
    </row>
    <row r="196" spans="1:20" s="3" customFormat="1" ht="18" customHeight="1">
      <c r="A196" s="119"/>
      <c r="I196" s="5"/>
      <c r="N196" s="6"/>
      <c r="O196" s="6"/>
      <c r="Q196" s="7"/>
      <c r="R196" s="8"/>
      <c r="S196" s="8"/>
      <c r="T196" s="8"/>
    </row>
    <row r="197" spans="1:20" s="3" customFormat="1" ht="18" customHeight="1">
      <c r="A197" s="119"/>
      <c r="I197" s="5"/>
      <c r="N197" s="6"/>
      <c r="O197" s="6"/>
      <c r="Q197" s="7"/>
      <c r="R197" s="8"/>
      <c r="S197" s="8"/>
      <c r="T197" s="8"/>
    </row>
    <row r="198" spans="1:20" s="3" customFormat="1" ht="18" customHeight="1">
      <c r="A198" s="119"/>
      <c r="I198" s="5"/>
      <c r="N198" s="6"/>
      <c r="O198" s="6"/>
      <c r="Q198" s="7"/>
      <c r="R198" s="8"/>
      <c r="S198" s="8"/>
      <c r="T198" s="8"/>
    </row>
    <row r="199" spans="1:20" s="3" customFormat="1" ht="18" customHeight="1">
      <c r="A199" s="119"/>
      <c r="I199" s="5"/>
      <c r="N199" s="6"/>
      <c r="O199" s="6"/>
      <c r="Q199" s="7"/>
      <c r="R199" s="8"/>
      <c r="S199" s="8"/>
      <c r="T199" s="8"/>
    </row>
    <row r="200" spans="1:20" s="3" customFormat="1" ht="18" customHeight="1">
      <c r="A200" s="119"/>
      <c r="I200" s="5"/>
      <c r="N200" s="6"/>
      <c r="O200" s="6"/>
      <c r="Q200" s="7"/>
      <c r="R200" s="8"/>
      <c r="S200" s="8"/>
      <c r="T200" s="8"/>
    </row>
    <row r="201" spans="1:20" s="3" customFormat="1" ht="18" customHeight="1">
      <c r="A201" s="119"/>
      <c r="I201" s="5"/>
      <c r="N201" s="6"/>
      <c r="O201" s="6"/>
      <c r="Q201" s="7"/>
      <c r="R201" s="8"/>
      <c r="S201" s="8"/>
      <c r="T201" s="8"/>
    </row>
    <row r="202" spans="1:20" s="3" customFormat="1" ht="18" customHeight="1">
      <c r="A202" s="119"/>
      <c r="I202" s="5"/>
      <c r="N202" s="6"/>
      <c r="O202" s="6"/>
      <c r="Q202" s="7"/>
      <c r="R202" s="8"/>
      <c r="S202" s="8"/>
      <c r="T202" s="8"/>
    </row>
    <row r="203" spans="1:20" s="3" customFormat="1" ht="18" customHeight="1">
      <c r="A203" s="119"/>
      <c r="I203" s="5"/>
      <c r="N203" s="6"/>
      <c r="O203" s="6"/>
      <c r="Q203" s="7"/>
      <c r="R203" s="8"/>
      <c r="S203" s="8"/>
      <c r="T203" s="8"/>
    </row>
    <row r="204" spans="1:20" s="3" customFormat="1" ht="18" customHeight="1">
      <c r="A204" s="119"/>
      <c r="I204" s="5"/>
      <c r="N204" s="6"/>
      <c r="O204" s="6"/>
      <c r="Q204" s="7"/>
      <c r="R204" s="8"/>
      <c r="S204" s="8"/>
      <c r="T204" s="8"/>
    </row>
    <row r="205" spans="1:20" s="3" customFormat="1" ht="18" customHeight="1">
      <c r="A205" s="119"/>
      <c r="I205" s="5"/>
      <c r="N205" s="6"/>
      <c r="O205" s="6"/>
      <c r="Q205" s="7"/>
      <c r="R205" s="8"/>
      <c r="S205" s="8"/>
      <c r="T205" s="8"/>
    </row>
  </sheetData>
  <mergeCells count="114">
    <mergeCell ref="C1:E1"/>
    <mergeCell ref="B146:C146"/>
    <mergeCell ref="B18:B19"/>
    <mergeCell ref="B20:B21"/>
    <mergeCell ref="B22:B23"/>
    <mergeCell ref="B24:B25"/>
    <mergeCell ref="B26:B27"/>
    <mergeCell ref="B28:B29"/>
    <mergeCell ref="B30:B31"/>
    <mergeCell ref="B32:B33"/>
    <mergeCell ref="B34:B35"/>
    <mergeCell ref="B36:B37"/>
    <mergeCell ref="B39:B40"/>
    <mergeCell ref="B41:B42"/>
    <mergeCell ref="B43:B45"/>
    <mergeCell ref="B46:B48"/>
    <mergeCell ref="B49:B51"/>
    <mergeCell ref="B53:B55"/>
    <mergeCell ref="B57:B59"/>
    <mergeCell ref="B64:B66"/>
    <mergeCell ref="B68:B70"/>
    <mergeCell ref="B73:B74"/>
    <mergeCell ref="B75:B78"/>
    <mergeCell ref="B79:B84"/>
    <mergeCell ref="B85:B89"/>
    <mergeCell ref="B90:B91"/>
    <mergeCell ref="B92:B93"/>
    <mergeCell ref="B94:B100"/>
    <mergeCell ref="B101:B105"/>
    <mergeCell ref="B115:B116"/>
    <mergeCell ref="K18:K19"/>
    <mergeCell ref="K20:K21"/>
    <mergeCell ref="K22:K23"/>
    <mergeCell ref="K24:K25"/>
    <mergeCell ref="K26:K27"/>
    <mergeCell ref="K28:K29"/>
    <mergeCell ref="K30:K31"/>
    <mergeCell ref="K32:K33"/>
    <mergeCell ref="K34:K35"/>
    <mergeCell ref="K36:K37"/>
    <mergeCell ref="K39:K40"/>
    <mergeCell ref="K41:K42"/>
    <mergeCell ref="K43:K45"/>
    <mergeCell ref="K46:K48"/>
    <mergeCell ref="K49:K51"/>
    <mergeCell ref="K53:K55"/>
    <mergeCell ref="K57:K59"/>
    <mergeCell ref="K64:K66"/>
    <mergeCell ref="K68:K70"/>
    <mergeCell ref="K73:K74"/>
    <mergeCell ref="K75:K78"/>
    <mergeCell ref="K79:K84"/>
    <mergeCell ref="K85:K89"/>
    <mergeCell ref="K90:K91"/>
    <mergeCell ref="K92:K93"/>
    <mergeCell ref="K94:K100"/>
    <mergeCell ref="K101:K105"/>
    <mergeCell ref="K115:K116"/>
    <mergeCell ref="L18:L19"/>
    <mergeCell ref="L20:L21"/>
    <mergeCell ref="L22:L23"/>
    <mergeCell ref="L24:L25"/>
    <mergeCell ref="L26:L27"/>
    <mergeCell ref="L28:L29"/>
    <mergeCell ref="L30:L31"/>
    <mergeCell ref="L32:L33"/>
    <mergeCell ref="L34:L35"/>
    <mergeCell ref="L36:L37"/>
    <mergeCell ref="L39:L40"/>
    <mergeCell ref="L41:L42"/>
    <mergeCell ref="L43:L45"/>
    <mergeCell ref="L46:L48"/>
    <mergeCell ref="L49:L51"/>
    <mergeCell ref="L53:L55"/>
    <mergeCell ref="L57:L59"/>
    <mergeCell ref="L64:L66"/>
    <mergeCell ref="L68:L70"/>
    <mergeCell ref="L73:L74"/>
    <mergeCell ref="L75:L78"/>
    <mergeCell ref="L79:L84"/>
    <mergeCell ref="L85:L89"/>
    <mergeCell ref="L90:L91"/>
    <mergeCell ref="L92:L93"/>
    <mergeCell ref="L94:L100"/>
    <mergeCell ref="L101:L105"/>
    <mergeCell ref="L115:L116"/>
    <mergeCell ref="M18:M19"/>
    <mergeCell ref="M20:M21"/>
    <mergeCell ref="M22:M23"/>
    <mergeCell ref="M24:M25"/>
    <mergeCell ref="M26:M27"/>
    <mergeCell ref="M28:M29"/>
    <mergeCell ref="M30:M31"/>
    <mergeCell ref="M32:M33"/>
    <mergeCell ref="M34:M35"/>
    <mergeCell ref="M36:M37"/>
    <mergeCell ref="M39:M40"/>
    <mergeCell ref="M41:M42"/>
    <mergeCell ref="M43:M45"/>
    <mergeCell ref="M46:M48"/>
    <mergeCell ref="M49:M51"/>
    <mergeCell ref="M53:M55"/>
    <mergeCell ref="M57:M59"/>
    <mergeCell ref="M64:M66"/>
    <mergeCell ref="M68:M70"/>
    <mergeCell ref="M73:M74"/>
    <mergeCell ref="M75:M78"/>
    <mergeCell ref="M79:M84"/>
    <mergeCell ref="M85:M89"/>
    <mergeCell ref="M90:M91"/>
    <mergeCell ref="M92:M93"/>
    <mergeCell ref="M94:M100"/>
    <mergeCell ref="M101:M105"/>
    <mergeCell ref="M115:M116"/>
  </mergeCells>
  <conditionalFormatting sqref="D46">
    <cfRule type="duplicateValues" dxfId="4" priority="1" stopIfTrue="1"/>
  </conditionalFormatting>
  <hyperlinks>
    <hyperlink ref="U19" r:id="rId1" xr:uid="{00000000-0004-0000-0100-000000000000}"/>
    <hyperlink ref="U21" r:id="rId2" xr:uid="{00000000-0004-0000-0100-000001000000}"/>
    <hyperlink ref="U23" r:id="rId3" xr:uid="{00000000-0004-0000-0100-000002000000}"/>
    <hyperlink ref="U25" r:id="rId4" xr:uid="{00000000-0004-0000-0100-000003000000}"/>
    <hyperlink ref="U27" r:id="rId5" xr:uid="{00000000-0004-0000-0100-000004000000}"/>
    <hyperlink ref="U29" r:id="rId6" xr:uid="{00000000-0004-0000-0100-000005000000}"/>
    <hyperlink ref="U31" r:id="rId7" xr:uid="{00000000-0004-0000-0100-000006000000}"/>
    <hyperlink ref="U33" r:id="rId8" xr:uid="{00000000-0004-0000-0100-000007000000}"/>
    <hyperlink ref="U35" r:id="rId9" xr:uid="{00000000-0004-0000-0100-000008000000}"/>
    <hyperlink ref="U37" r:id="rId10" xr:uid="{00000000-0004-0000-0100-000009000000}"/>
    <hyperlink ref="U127" r:id="rId11" xr:uid="{00000000-0004-0000-0100-00000A000000}"/>
    <hyperlink ref="U128" r:id="rId12" xr:uid="{00000000-0004-0000-0100-00000B000000}"/>
    <hyperlink ref="U129" r:id="rId13" xr:uid="{00000000-0004-0000-0100-00000C000000}"/>
    <hyperlink ref="U130" r:id="rId14" xr:uid="{00000000-0004-0000-0100-00000D000000}"/>
    <hyperlink ref="U131" r:id="rId15" xr:uid="{00000000-0004-0000-0100-00000E000000}"/>
    <hyperlink ref="U132" r:id="rId16" xr:uid="{00000000-0004-0000-0100-00000F000000}"/>
    <hyperlink ref="U133" r:id="rId17" xr:uid="{00000000-0004-0000-0100-000010000000}"/>
    <hyperlink ref="U134" r:id="rId18" xr:uid="{00000000-0004-0000-0100-000011000000}"/>
    <hyperlink ref="U135" r:id="rId19" xr:uid="{00000000-0004-0000-0100-000012000000}"/>
    <hyperlink ref="U3" r:id="rId20" xr:uid="{00000000-0004-0000-0100-000013000000}"/>
    <hyperlink ref="U106" r:id="rId21" xr:uid="{00000000-0004-0000-0100-000014000000}"/>
    <hyperlink ref="U18" r:id="rId22" xr:uid="{00000000-0004-0000-0100-000015000000}"/>
    <hyperlink ref="U38" r:id="rId23" xr:uid="{00000000-0004-0000-0100-000016000000}"/>
    <hyperlink ref="U47" r:id="rId24" xr:uid="{00000000-0004-0000-0100-000017000000}"/>
    <hyperlink ref="U71" r:id="rId25" xr:uid="{00000000-0004-0000-0100-000018000000}"/>
    <hyperlink ref="U136" r:id="rId26" xr:uid="{00000000-0004-0000-0100-000019000000}"/>
    <hyperlink ref="U124" r:id="rId27" xr:uid="{00000000-0004-0000-0100-00001A000000}"/>
    <hyperlink ref="U121" r:id="rId28" xr:uid="{00000000-0004-0000-0100-00001B000000}"/>
    <hyperlink ref="U116" r:id="rId29" xr:uid="{00000000-0004-0000-0100-00001C000000}"/>
    <hyperlink ref="U111" r:id="rId30" xr:uid="{00000000-0004-0000-0100-00001D000000}"/>
    <hyperlink ref="U115" r:id="rId31" xr:uid="{00000000-0004-0000-0100-00001E000000}"/>
    <hyperlink ref="U48" r:id="rId32" xr:uid="{00000000-0004-0000-0100-00001F000000}"/>
    <hyperlink ref="U52" r:id="rId33" xr:uid="{00000000-0004-0000-0100-000020000000}"/>
    <hyperlink ref="U56" r:id="rId34" display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xr:uid="{00000000-0004-0000-0100-000021000000}"/>
    <hyperlink ref="U40" r:id="rId35" xr:uid="{00000000-0004-0000-0100-000022000000}"/>
    <hyperlink ref="U55" r:id="rId36" xr:uid="{00000000-0004-0000-0100-000023000000}"/>
    <hyperlink ref="U65" r:id="rId37" xr:uid="{00000000-0004-0000-0100-000024000000}"/>
    <hyperlink ref="U100" r:id="rId38" xr:uid="{00000000-0004-0000-0100-000025000000}"/>
    <hyperlink ref="U96" r:id="rId39" xr:uid="{00000000-0004-0000-0100-000026000000}"/>
    <hyperlink ref="U92" r:id="rId40" xr:uid="{00000000-0004-0000-0100-000027000000}"/>
    <hyperlink ref="U78" r:id="rId41" xr:uid="{00000000-0004-0000-0100-000028000000}"/>
    <hyperlink ref="U79" r:id="rId42" xr:uid="{00000000-0004-0000-0100-000029000000}"/>
    <hyperlink ref="U76" r:id="rId43" xr:uid="{00000000-0004-0000-0100-00002A000000}"/>
    <hyperlink ref="U39" r:id="rId44" xr:uid="{00000000-0004-0000-0100-00002B000000}"/>
    <hyperlink ref="U41" r:id="rId45" xr:uid="{00000000-0004-0000-0100-00002C000000}"/>
    <hyperlink ref="U42" r:id="rId46" xr:uid="{00000000-0004-0000-0100-00002D000000}"/>
    <hyperlink ref="U43" r:id="rId47" xr:uid="{00000000-0004-0000-0100-00002E000000}"/>
    <hyperlink ref="U44" r:id="rId48" xr:uid="{00000000-0004-0000-0100-00002F000000}"/>
    <hyperlink ref="U45" r:id="rId49" xr:uid="{00000000-0004-0000-0100-000030000000}"/>
    <hyperlink ref="U46" r:id="rId50" xr:uid="{00000000-0004-0000-0100-000031000000}"/>
    <hyperlink ref="U49" r:id="rId51" xr:uid="{00000000-0004-0000-0100-000032000000}"/>
    <hyperlink ref="U51" r:id="rId52" xr:uid="{00000000-0004-0000-0100-000033000000}"/>
    <hyperlink ref="U53" r:id="rId53" xr:uid="{00000000-0004-0000-0100-000034000000}"/>
    <hyperlink ref="U54" r:id="rId54" xr:uid="{00000000-0004-0000-0100-000035000000}"/>
    <hyperlink ref="U57" r:id="rId55" xr:uid="{00000000-0004-0000-0100-000036000000}"/>
    <hyperlink ref="U59" r:id="rId56" xr:uid="{00000000-0004-0000-0100-000037000000}"/>
    <hyperlink ref="U64" r:id="rId57" xr:uid="{00000000-0004-0000-0100-000038000000}"/>
    <hyperlink ref="U66" r:id="rId58" xr:uid="{00000000-0004-0000-0100-000039000000}"/>
    <hyperlink ref="U69" r:id="rId59" xr:uid="{00000000-0004-0000-0100-00003A000000}"/>
    <hyperlink ref="U74" r:id="rId60" xr:uid="{00000000-0004-0000-0100-00003B000000}"/>
    <hyperlink ref="U80" r:id="rId61" xr:uid="{00000000-0004-0000-0100-00003C000000}"/>
    <hyperlink ref="U81" r:id="rId62" xr:uid="{00000000-0004-0000-0100-00003D000000}"/>
    <hyperlink ref="U82" r:id="rId63" xr:uid="{00000000-0004-0000-0100-00003E000000}"/>
    <hyperlink ref="U84" r:id="rId64" xr:uid="{00000000-0004-0000-0100-00003F000000}"/>
    <hyperlink ref="U85" r:id="rId65" xr:uid="{00000000-0004-0000-0100-000040000000}"/>
    <hyperlink ref="U86" r:id="rId66" xr:uid="{00000000-0004-0000-0100-000041000000}"/>
    <hyperlink ref="U87" r:id="rId67" xr:uid="{00000000-0004-0000-0100-000042000000}"/>
    <hyperlink ref="U88" r:id="rId68" xr:uid="{00000000-0004-0000-0100-000043000000}"/>
    <hyperlink ref="U89" r:id="rId69" xr:uid="{00000000-0004-0000-0100-000044000000}"/>
    <hyperlink ref="U90" r:id="rId70" display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xr:uid="{00000000-0004-0000-0100-000045000000}"/>
    <hyperlink ref="U91" r:id="rId71" xr:uid="{00000000-0004-0000-0100-000046000000}"/>
    <hyperlink ref="U93" r:id="rId72" xr:uid="{00000000-0004-0000-0100-000047000000}"/>
    <hyperlink ref="U95" r:id="rId73" xr:uid="{00000000-0004-0000-0100-000048000000}"/>
    <hyperlink ref="U97" r:id="rId74" xr:uid="{00000000-0004-0000-0100-000049000000}"/>
    <hyperlink ref="U98" r:id="rId75" xr:uid="{00000000-0004-0000-0100-00004A000000}"/>
    <hyperlink ref="U99" r:id="rId76" xr:uid="{00000000-0004-0000-0100-00004B000000}"/>
    <hyperlink ref="U104" r:id="rId77" xr:uid="{00000000-0004-0000-0100-00004C000000}"/>
    <hyperlink ref="U101" r:id="rId78" xr:uid="{00000000-0004-0000-0100-00004D000000}"/>
    <hyperlink ref="U102" r:id="rId79" xr:uid="{00000000-0004-0000-0100-00004E000000}"/>
  </hyperlinks>
  <pageMargins left="0.75" right="0.75" top="1" bottom="1" header="0.51180555555555596" footer="0.51180555555555596"/>
  <drawing r:id="rId8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A194"/>
  <sheetViews>
    <sheetView workbookViewId="0">
      <pane xSplit="1" ySplit="2" topLeftCell="K136" activePane="bottomRight" state="frozen"/>
      <selection pane="topRight" activeCell="B1" sqref="B1"/>
      <selection pane="bottomLeft" activeCell="A3" sqref="A3"/>
      <selection pane="bottomRight" activeCell="L144" sqref="L144"/>
    </sheetView>
  </sheetViews>
  <sheetFormatPr defaultColWidth="11.28515625" defaultRowHeight="18" customHeight="1"/>
  <cols>
    <col min="1" max="1" width="4.7109375" style="4" customWidth="1"/>
    <col min="2" max="2" width="6.42578125" style="3" customWidth="1"/>
    <col min="3" max="3" width="26.42578125" style="3" customWidth="1"/>
    <col min="4" max="4" width="27.42578125" style="3" customWidth="1"/>
    <col min="5" max="5" width="13.42578125" style="3" hidden="1" customWidth="1"/>
    <col min="6" max="8" width="4.42578125" style="3" hidden="1" customWidth="1"/>
    <col min="9" max="9" width="22" style="5" hidden="1" customWidth="1"/>
    <col min="10" max="10" width="9.42578125" style="3" customWidth="1"/>
    <col min="11" max="11" width="11.85546875" style="3" customWidth="1"/>
    <col min="12" max="12" width="15.42578125" style="296" bestFit="1" customWidth="1"/>
    <col min="13" max="13" width="15.42578125" style="296" customWidth="1"/>
    <col min="14" max="14" width="12.5703125" style="3" bestFit="1" customWidth="1"/>
    <col min="15" max="15" width="17.42578125" style="3" customWidth="1"/>
    <col min="16" max="17" width="16.42578125" style="3" customWidth="1"/>
    <col min="18" max="18" width="6.7109375" style="3" customWidth="1"/>
    <col min="19" max="19" width="8" style="6" customWidth="1"/>
    <col min="20" max="20" width="10.42578125" style="6" customWidth="1"/>
    <col min="21" max="21" width="13" style="3" customWidth="1"/>
    <col min="22" max="22" width="13" style="7" customWidth="1"/>
    <col min="23" max="25" width="13" style="8" customWidth="1"/>
    <col min="26" max="26" width="16.140625" style="9" customWidth="1"/>
    <col min="27" max="16384" width="11.28515625" style="3"/>
  </cols>
  <sheetData>
    <row r="1" spans="1:27" s="2" customFormat="1" ht="18" customHeight="1">
      <c r="A1" s="10"/>
      <c r="B1" s="11" t="s">
        <v>412</v>
      </c>
      <c r="C1" s="354" t="s">
        <v>413</v>
      </c>
      <c r="D1" s="355"/>
      <c r="E1" s="356"/>
      <c r="F1" s="10"/>
      <c r="G1" s="10"/>
      <c r="H1" s="10"/>
      <c r="I1" s="10"/>
      <c r="J1" s="10" t="s">
        <v>414</v>
      </c>
      <c r="K1" s="151" t="s">
        <v>14</v>
      </c>
      <c r="L1" s="151"/>
      <c r="M1" s="151"/>
      <c r="N1" s="151"/>
      <c r="O1" s="151"/>
      <c r="P1" s="151"/>
      <c r="Q1" s="151"/>
      <c r="R1" s="11" t="s">
        <v>415</v>
      </c>
      <c r="S1" s="31" t="s">
        <v>17</v>
      </c>
      <c r="T1" s="31" t="s">
        <v>18</v>
      </c>
      <c r="U1" s="46"/>
      <c r="V1" s="47"/>
      <c r="W1" s="48"/>
      <c r="X1" s="48"/>
      <c r="Y1" s="48"/>
      <c r="Z1" s="46"/>
      <c r="AA1" s="49" t="s">
        <v>416</v>
      </c>
    </row>
    <row r="2" spans="1:27" s="2" customFormat="1" ht="45">
      <c r="A2" s="10"/>
      <c r="B2" s="12" t="s">
        <v>21</v>
      </c>
      <c r="C2" s="13" t="s">
        <v>417</v>
      </c>
      <c r="D2" s="14"/>
      <c r="E2" s="13" t="s">
        <v>418</v>
      </c>
      <c r="F2" s="13" t="s">
        <v>419</v>
      </c>
      <c r="G2" s="13" t="s">
        <v>420</v>
      </c>
      <c r="H2" s="13" t="s">
        <v>421</v>
      </c>
      <c r="I2" s="13" t="s">
        <v>422</v>
      </c>
      <c r="J2" s="10" t="s">
        <v>28</v>
      </c>
      <c r="K2" s="152" t="s">
        <v>30</v>
      </c>
      <c r="L2" s="152" t="s">
        <v>760</v>
      </c>
      <c r="M2" s="152" t="s">
        <v>761</v>
      </c>
      <c r="N2" s="152"/>
      <c r="O2" s="152"/>
      <c r="P2" s="152"/>
      <c r="Q2" s="152"/>
      <c r="R2" s="12" t="s">
        <v>31</v>
      </c>
      <c r="S2" s="32" t="s">
        <v>423</v>
      </c>
      <c r="T2" s="32" t="s">
        <v>423</v>
      </c>
      <c r="U2" s="10"/>
      <c r="V2" s="50"/>
      <c r="W2" s="51"/>
      <c r="X2" s="51"/>
      <c r="Y2" s="51"/>
      <c r="Z2" s="52" t="s">
        <v>424</v>
      </c>
    </row>
    <row r="3" spans="1:27" ht="18" customHeight="1">
      <c r="A3" s="15">
        <v>1</v>
      </c>
      <c r="B3" s="15" t="s">
        <v>425</v>
      </c>
      <c r="C3" s="16" t="s">
        <v>39</v>
      </c>
      <c r="D3" s="17" t="s">
        <v>426</v>
      </c>
      <c r="E3" s="18" t="s">
        <v>40</v>
      </c>
      <c r="F3" s="19" t="s">
        <v>41</v>
      </c>
      <c r="G3" s="20" t="s">
        <v>427</v>
      </c>
      <c r="H3" s="21" t="s">
        <v>41</v>
      </c>
      <c r="I3" s="20" t="s">
        <v>428</v>
      </c>
      <c r="J3" s="33">
        <v>32</v>
      </c>
      <c r="K3" s="146">
        <v>20.85</v>
      </c>
      <c r="L3" s="297">
        <v>13.44</v>
      </c>
      <c r="M3" s="297">
        <v>15.02</v>
      </c>
      <c r="N3" s="153">
        <f t="shared" ref="N3:N34" si="0">J3*Y3+2</f>
        <v>15.44</v>
      </c>
      <c r="O3" s="153">
        <f t="shared" ref="O3:O34" si="1">J3*Y3+1.5</f>
        <v>14.94</v>
      </c>
      <c r="P3" s="153">
        <f t="shared" ref="P3:P34" si="2">J3*Y3+1</f>
        <v>14.44</v>
      </c>
      <c r="Q3" s="153">
        <f t="shared" ref="Q3:Q34" si="3">J3*Y3+0.5</f>
        <v>13.94</v>
      </c>
      <c r="R3" s="36">
        <v>1</v>
      </c>
      <c r="S3" s="37">
        <v>0.55000000000000004</v>
      </c>
      <c r="T3" s="53">
        <f t="shared" ref="T3:T34" si="4">S3*J3</f>
        <v>17.600000000000001</v>
      </c>
      <c r="U3" s="54">
        <v>6207999099</v>
      </c>
      <c r="V3" s="55">
        <v>0.12</v>
      </c>
      <c r="W3" s="16" t="s">
        <v>429</v>
      </c>
      <c r="X3" s="16">
        <v>17.989999999999998</v>
      </c>
      <c r="Y3" s="16">
        <v>0.42</v>
      </c>
      <c r="Z3" s="56" t="s">
        <v>44</v>
      </c>
    </row>
    <row r="4" spans="1:27" ht="18" customHeight="1">
      <c r="A4" s="15">
        <v>2</v>
      </c>
      <c r="B4" s="15" t="s">
        <v>430</v>
      </c>
      <c r="C4" s="16" t="s">
        <v>39</v>
      </c>
      <c r="D4" s="17" t="s">
        <v>426</v>
      </c>
      <c r="E4" s="22" t="s">
        <v>40</v>
      </c>
      <c r="F4" s="19" t="s">
        <v>41</v>
      </c>
      <c r="G4" s="20" t="s">
        <v>427</v>
      </c>
      <c r="H4" s="21" t="s">
        <v>41</v>
      </c>
      <c r="I4" s="20" t="s">
        <v>428</v>
      </c>
      <c r="J4" s="33">
        <v>32</v>
      </c>
      <c r="K4" s="146">
        <v>20.85</v>
      </c>
      <c r="L4" s="297">
        <v>13.44</v>
      </c>
      <c r="M4" s="297">
        <v>15.02</v>
      </c>
      <c r="N4" s="153">
        <f t="shared" si="0"/>
        <v>15.44</v>
      </c>
      <c r="O4" s="153">
        <f t="shared" si="1"/>
        <v>14.94</v>
      </c>
      <c r="P4" s="153">
        <f t="shared" si="2"/>
        <v>14.44</v>
      </c>
      <c r="Q4" s="153">
        <f t="shared" si="3"/>
        <v>13.94</v>
      </c>
      <c r="R4" s="36">
        <v>1</v>
      </c>
      <c r="S4" s="37">
        <v>0.55000000000000004</v>
      </c>
      <c r="T4" s="53">
        <f t="shared" si="4"/>
        <v>17.600000000000001</v>
      </c>
      <c r="U4" s="54">
        <v>6207999099</v>
      </c>
      <c r="V4" s="55">
        <v>0.12</v>
      </c>
      <c r="W4" s="16" t="s">
        <v>429</v>
      </c>
      <c r="X4" s="16">
        <v>17.989999999999998</v>
      </c>
      <c r="Y4" s="16">
        <v>0.42</v>
      </c>
      <c r="Z4" s="57" t="s">
        <v>44</v>
      </c>
    </row>
    <row r="5" spans="1:27" ht="18" customHeight="1">
      <c r="A5" s="15">
        <v>3</v>
      </c>
      <c r="B5" s="15" t="s">
        <v>431</v>
      </c>
      <c r="C5" s="16" t="s">
        <v>39</v>
      </c>
      <c r="D5" s="17" t="s">
        <v>426</v>
      </c>
      <c r="E5" s="22" t="s">
        <v>40</v>
      </c>
      <c r="F5" s="19" t="s">
        <v>41</v>
      </c>
      <c r="G5" s="20" t="s">
        <v>427</v>
      </c>
      <c r="H5" s="21" t="s">
        <v>41</v>
      </c>
      <c r="I5" s="20" t="s">
        <v>428</v>
      </c>
      <c r="J5" s="33">
        <v>32</v>
      </c>
      <c r="K5" s="146">
        <v>20.85</v>
      </c>
      <c r="L5" s="297">
        <v>13.44</v>
      </c>
      <c r="M5" s="297">
        <v>15.02</v>
      </c>
      <c r="N5" s="153">
        <f t="shared" si="0"/>
        <v>15.44</v>
      </c>
      <c r="O5" s="153">
        <f t="shared" si="1"/>
        <v>14.94</v>
      </c>
      <c r="P5" s="153">
        <f t="shared" si="2"/>
        <v>14.44</v>
      </c>
      <c r="Q5" s="153">
        <f t="shared" si="3"/>
        <v>13.94</v>
      </c>
      <c r="R5" s="36">
        <v>1</v>
      </c>
      <c r="S5" s="37">
        <v>0.55000000000000004</v>
      </c>
      <c r="T5" s="53">
        <f t="shared" si="4"/>
        <v>17.600000000000001</v>
      </c>
      <c r="U5" s="54">
        <v>6207999099</v>
      </c>
      <c r="V5" s="55">
        <v>0.12</v>
      </c>
      <c r="W5" s="16" t="s">
        <v>429</v>
      </c>
      <c r="X5" s="16">
        <v>17.989999999999998</v>
      </c>
      <c r="Y5" s="16">
        <v>0.42</v>
      </c>
      <c r="Z5" s="57" t="s">
        <v>44</v>
      </c>
    </row>
    <row r="6" spans="1:27" ht="18" customHeight="1">
      <c r="A6" s="15">
        <v>4</v>
      </c>
      <c r="B6" s="15" t="s">
        <v>432</v>
      </c>
      <c r="C6" s="16" t="s">
        <v>39</v>
      </c>
      <c r="D6" s="17" t="s">
        <v>426</v>
      </c>
      <c r="E6" s="22" t="s">
        <v>40</v>
      </c>
      <c r="F6" s="19" t="s">
        <v>41</v>
      </c>
      <c r="G6" s="20" t="s">
        <v>427</v>
      </c>
      <c r="H6" s="21" t="s">
        <v>41</v>
      </c>
      <c r="I6" s="20" t="s">
        <v>428</v>
      </c>
      <c r="J6" s="33">
        <v>32</v>
      </c>
      <c r="K6" s="146">
        <v>20.85</v>
      </c>
      <c r="L6" s="297">
        <v>13.44</v>
      </c>
      <c r="M6" s="297">
        <v>15.02</v>
      </c>
      <c r="N6" s="153">
        <f t="shared" si="0"/>
        <v>15.44</v>
      </c>
      <c r="O6" s="153">
        <f t="shared" si="1"/>
        <v>14.94</v>
      </c>
      <c r="P6" s="153">
        <f t="shared" si="2"/>
        <v>14.44</v>
      </c>
      <c r="Q6" s="153">
        <f t="shared" si="3"/>
        <v>13.94</v>
      </c>
      <c r="R6" s="36">
        <v>1</v>
      </c>
      <c r="S6" s="37">
        <v>0.55000000000000004</v>
      </c>
      <c r="T6" s="53">
        <f t="shared" si="4"/>
        <v>17.600000000000001</v>
      </c>
      <c r="U6" s="54">
        <v>6207999099</v>
      </c>
      <c r="V6" s="55">
        <v>0.12</v>
      </c>
      <c r="W6" s="16" t="s">
        <v>429</v>
      </c>
      <c r="X6" s="16">
        <v>17.989999999999998</v>
      </c>
      <c r="Y6" s="16">
        <v>0.42</v>
      </c>
      <c r="Z6" s="57" t="s">
        <v>44</v>
      </c>
    </row>
    <row r="7" spans="1:27" ht="18" customHeight="1">
      <c r="A7" s="15">
        <v>5</v>
      </c>
      <c r="B7" s="15" t="s">
        <v>433</v>
      </c>
      <c r="C7" s="16" t="s">
        <v>39</v>
      </c>
      <c r="D7" s="17" t="s">
        <v>426</v>
      </c>
      <c r="E7" s="22" t="s">
        <v>40</v>
      </c>
      <c r="F7" s="19" t="s">
        <v>41</v>
      </c>
      <c r="G7" s="20" t="s">
        <v>427</v>
      </c>
      <c r="H7" s="21" t="s">
        <v>41</v>
      </c>
      <c r="I7" s="20" t="s">
        <v>428</v>
      </c>
      <c r="J7" s="33">
        <v>32</v>
      </c>
      <c r="K7" s="146">
        <v>20.85</v>
      </c>
      <c r="L7" s="297">
        <v>13.44</v>
      </c>
      <c r="M7" s="297">
        <v>15.02</v>
      </c>
      <c r="N7" s="153">
        <f t="shared" si="0"/>
        <v>15.44</v>
      </c>
      <c r="O7" s="153">
        <f t="shared" si="1"/>
        <v>14.94</v>
      </c>
      <c r="P7" s="153">
        <f t="shared" si="2"/>
        <v>14.44</v>
      </c>
      <c r="Q7" s="153">
        <f t="shared" si="3"/>
        <v>13.94</v>
      </c>
      <c r="R7" s="36">
        <v>1</v>
      </c>
      <c r="S7" s="37">
        <v>0.55000000000000004</v>
      </c>
      <c r="T7" s="53">
        <f t="shared" si="4"/>
        <v>17.600000000000001</v>
      </c>
      <c r="U7" s="54">
        <v>6207999099</v>
      </c>
      <c r="V7" s="55">
        <v>0.12</v>
      </c>
      <c r="W7" s="16" t="s">
        <v>429</v>
      </c>
      <c r="X7" s="16">
        <v>17.989999999999998</v>
      </c>
      <c r="Y7" s="16">
        <v>0.42</v>
      </c>
      <c r="Z7" s="57" t="s">
        <v>44</v>
      </c>
    </row>
    <row r="8" spans="1:27" ht="18" customHeight="1">
      <c r="A8" s="15">
        <v>6</v>
      </c>
      <c r="B8" s="15" t="s">
        <v>434</v>
      </c>
      <c r="C8" s="16" t="s">
        <v>39</v>
      </c>
      <c r="D8" s="17" t="s">
        <v>426</v>
      </c>
      <c r="E8" s="22" t="s">
        <v>40</v>
      </c>
      <c r="F8" s="19" t="s">
        <v>41</v>
      </c>
      <c r="G8" s="20" t="s">
        <v>427</v>
      </c>
      <c r="H8" s="21" t="s">
        <v>41</v>
      </c>
      <c r="I8" s="20" t="s">
        <v>428</v>
      </c>
      <c r="J8" s="33">
        <v>32</v>
      </c>
      <c r="K8" s="146">
        <v>20.85</v>
      </c>
      <c r="L8" s="297">
        <v>13.44</v>
      </c>
      <c r="M8" s="297">
        <v>15.02</v>
      </c>
      <c r="N8" s="153">
        <f t="shared" si="0"/>
        <v>15.44</v>
      </c>
      <c r="O8" s="153">
        <f t="shared" si="1"/>
        <v>14.94</v>
      </c>
      <c r="P8" s="153">
        <f t="shared" si="2"/>
        <v>14.44</v>
      </c>
      <c r="Q8" s="153">
        <f t="shared" si="3"/>
        <v>13.94</v>
      </c>
      <c r="R8" s="36">
        <v>1</v>
      </c>
      <c r="S8" s="37">
        <v>0.55000000000000004</v>
      </c>
      <c r="T8" s="53">
        <f t="shared" si="4"/>
        <v>17.600000000000001</v>
      </c>
      <c r="U8" s="54">
        <v>6207999099</v>
      </c>
      <c r="V8" s="55">
        <v>0.12</v>
      </c>
      <c r="W8" s="16" t="s">
        <v>429</v>
      </c>
      <c r="X8" s="16">
        <v>17.989999999999998</v>
      </c>
      <c r="Y8" s="16">
        <v>0.42</v>
      </c>
      <c r="Z8" s="57" t="s">
        <v>44</v>
      </c>
    </row>
    <row r="9" spans="1:27" ht="18" customHeight="1">
      <c r="A9" s="15">
        <v>7</v>
      </c>
      <c r="B9" s="15" t="s">
        <v>435</v>
      </c>
      <c r="C9" s="16" t="s">
        <v>39</v>
      </c>
      <c r="D9" s="17" t="s">
        <v>426</v>
      </c>
      <c r="E9" s="22" t="s">
        <v>40</v>
      </c>
      <c r="F9" s="19" t="s">
        <v>41</v>
      </c>
      <c r="G9" s="20" t="s">
        <v>427</v>
      </c>
      <c r="H9" s="21" t="s">
        <v>41</v>
      </c>
      <c r="I9" s="20" t="s">
        <v>428</v>
      </c>
      <c r="J9" s="33">
        <v>32</v>
      </c>
      <c r="K9" s="146">
        <v>20.85</v>
      </c>
      <c r="L9" s="297">
        <v>13.44</v>
      </c>
      <c r="M9" s="297">
        <v>15.02</v>
      </c>
      <c r="N9" s="153">
        <f t="shared" si="0"/>
        <v>15.44</v>
      </c>
      <c r="O9" s="153">
        <f t="shared" si="1"/>
        <v>14.94</v>
      </c>
      <c r="P9" s="153">
        <f t="shared" si="2"/>
        <v>14.44</v>
      </c>
      <c r="Q9" s="153">
        <f t="shared" si="3"/>
        <v>13.94</v>
      </c>
      <c r="R9" s="36">
        <v>1</v>
      </c>
      <c r="S9" s="37">
        <v>0.55000000000000004</v>
      </c>
      <c r="T9" s="53">
        <f t="shared" si="4"/>
        <v>17.600000000000001</v>
      </c>
      <c r="U9" s="54">
        <v>6207999099</v>
      </c>
      <c r="V9" s="55">
        <v>0.12</v>
      </c>
      <c r="W9" s="16" t="s">
        <v>429</v>
      </c>
      <c r="X9" s="16">
        <v>17.989999999999998</v>
      </c>
      <c r="Y9" s="16">
        <v>0.42</v>
      </c>
      <c r="Z9" s="57" t="s">
        <v>44</v>
      </c>
    </row>
    <row r="10" spans="1:27" ht="18" customHeight="1">
      <c r="A10" s="15">
        <v>8</v>
      </c>
      <c r="B10" s="15" t="s">
        <v>436</v>
      </c>
      <c r="C10" s="16" t="s">
        <v>39</v>
      </c>
      <c r="D10" s="17" t="s">
        <v>426</v>
      </c>
      <c r="E10" s="22" t="s">
        <v>40</v>
      </c>
      <c r="F10" s="19" t="s">
        <v>41</v>
      </c>
      <c r="G10" s="20" t="s">
        <v>427</v>
      </c>
      <c r="H10" s="21" t="s">
        <v>41</v>
      </c>
      <c r="I10" s="20" t="s">
        <v>428</v>
      </c>
      <c r="J10" s="33">
        <v>32</v>
      </c>
      <c r="K10" s="146">
        <v>20.85</v>
      </c>
      <c r="L10" s="297">
        <v>13.44</v>
      </c>
      <c r="M10" s="297">
        <v>15.02</v>
      </c>
      <c r="N10" s="153">
        <f t="shared" si="0"/>
        <v>15.44</v>
      </c>
      <c r="O10" s="153">
        <f t="shared" si="1"/>
        <v>14.94</v>
      </c>
      <c r="P10" s="153">
        <f t="shared" si="2"/>
        <v>14.44</v>
      </c>
      <c r="Q10" s="153">
        <f t="shared" si="3"/>
        <v>13.94</v>
      </c>
      <c r="R10" s="36">
        <v>1</v>
      </c>
      <c r="S10" s="37">
        <v>0.55000000000000004</v>
      </c>
      <c r="T10" s="53">
        <f t="shared" si="4"/>
        <v>17.600000000000001</v>
      </c>
      <c r="U10" s="54">
        <v>6207999099</v>
      </c>
      <c r="V10" s="55">
        <v>0.12</v>
      </c>
      <c r="W10" s="16" t="s">
        <v>429</v>
      </c>
      <c r="X10" s="16">
        <v>17.989999999999998</v>
      </c>
      <c r="Y10" s="16">
        <v>0.42</v>
      </c>
      <c r="Z10" s="57" t="s">
        <v>44</v>
      </c>
    </row>
    <row r="11" spans="1:27" ht="18" customHeight="1">
      <c r="A11" s="15">
        <v>9</v>
      </c>
      <c r="B11" s="15" t="s">
        <v>437</v>
      </c>
      <c r="C11" s="16" t="s">
        <v>39</v>
      </c>
      <c r="D11" s="17" t="s">
        <v>426</v>
      </c>
      <c r="E11" s="22" t="s">
        <v>40</v>
      </c>
      <c r="F11" s="19" t="s">
        <v>41</v>
      </c>
      <c r="G11" s="20" t="s">
        <v>427</v>
      </c>
      <c r="H11" s="21" t="s">
        <v>41</v>
      </c>
      <c r="I11" s="20" t="s">
        <v>428</v>
      </c>
      <c r="J11" s="33">
        <v>32</v>
      </c>
      <c r="K11" s="146">
        <v>20.85</v>
      </c>
      <c r="L11" s="297">
        <v>13.44</v>
      </c>
      <c r="M11" s="297">
        <v>15.02</v>
      </c>
      <c r="N11" s="153">
        <f t="shared" si="0"/>
        <v>15.44</v>
      </c>
      <c r="O11" s="153">
        <f t="shared" si="1"/>
        <v>14.94</v>
      </c>
      <c r="P11" s="153">
        <f t="shared" si="2"/>
        <v>14.44</v>
      </c>
      <c r="Q11" s="153">
        <f t="shared" si="3"/>
        <v>13.94</v>
      </c>
      <c r="R11" s="36">
        <v>1</v>
      </c>
      <c r="S11" s="37">
        <v>0.55000000000000004</v>
      </c>
      <c r="T11" s="53">
        <f t="shared" si="4"/>
        <v>17.600000000000001</v>
      </c>
      <c r="U11" s="54">
        <v>6207999099</v>
      </c>
      <c r="V11" s="55">
        <v>0.12</v>
      </c>
      <c r="W11" s="16" t="s">
        <v>429</v>
      </c>
      <c r="X11" s="16">
        <v>17.989999999999998</v>
      </c>
      <c r="Y11" s="16">
        <v>0.42</v>
      </c>
      <c r="Z11" s="57" t="s">
        <v>44</v>
      </c>
    </row>
    <row r="12" spans="1:27" ht="18" customHeight="1">
      <c r="A12" s="15">
        <v>10</v>
      </c>
      <c r="B12" s="15" t="s">
        <v>438</v>
      </c>
      <c r="C12" s="16" t="s">
        <v>39</v>
      </c>
      <c r="D12" s="17" t="s">
        <v>426</v>
      </c>
      <c r="E12" s="22" t="s">
        <v>40</v>
      </c>
      <c r="F12" s="19" t="s">
        <v>41</v>
      </c>
      <c r="G12" s="20" t="s">
        <v>427</v>
      </c>
      <c r="H12" s="21" t="s">
        <v>41</v>
      </c>
      <c r="I12" s="20" t="s">
        <v>428</v>
      </c>
      <c r="J12" s="33">
        <v>32</v>
      </c>
      <c r="K12" s="146">
        <v>20.85</v>
      </c>
      <c r="L12" s="297">
        <v>13.44</v>
      </c>
      <c r="M12" s="297">
        <v>15.02</v>
      </c>
      <c r="N12" s="153">
        <f t="shared" si="0"/>
        <v>15.44</v>
      </c>
      <c r="O12" s="153">
        <f t="shared" si="1"/>
        <v>14.94</v>
      </c>
      <c r="P12" s="153">
        <f t="shared" si="2"/>
        <v>14.44</v>
      </c>
      <c r="Q12" s="153">
        <f t="shared" si="3"/>
        <v>13.94</v>
      </c>
      <c r="R12" s="36">
        <v>1</v>
      </c>
      <c r="S12" s="37">
        <v>0.55000000000000004</v>
      </c>
      <c r="T12" s="53">
        <f t="shared" si="4"/>
        <v>17.600000000000001</v>
      </c>
      <c r="U12" s="54">
        <v>6207999099</v>
      </c>
      <c r="V12" s="55">
        <v>0.12</v>
      </c>
      <c r="W12" s="16" t="s">
        <v>429</v>
      </c>
      <c r="X12" s="16">
        <v>17.989999999999998</v>
      </c>
      <c r="Y12" s="16">
        <v>0.42</v>
      </c>
      <c r="Z12" s="57" t="s">
        <v>44</v>
      </c>
    </row>
    <row r="13" spans="1:27" ht="18" customHeight="1">
      <c r="A13" s="15">
        <v>11</v>
      </c>
      <c r="B13" s="15" t="s">
        <v>439</v>
      </c>
      <c r="C13" s="16" t="s">
        <v>39</v>
      </c>
      <c r="D13" s="17" t="s">
        <v>426</v>
      </c>
      <c r="E13" s="22" t="s">
        <v>40</v>
      </c>
      <c r="F13" s="19" t="s">
        <v>41</v>
      </c>
      <c r="G13" s="20" t="s">
        <v>427</v>
      </c>
      <c r="H13" s="21" t="s">
        <v>41</v>
      </c>
      <c r="I13" s="38" t="s">
        <v>428</v>
      </c>
      <c r="J13" s="33">
        <v>32</v>
      </c>
      <c r="K13" s="146">
        <v>20.85</v>
      </c>
      <c r="L13" s="297">
        <v>13.44</v>
      </c>
      <c r="M13" s="297">
        <v>15.02</v>
      </c>
      <c r="N13" s="153">
        <f t="shared" si="0"/>
        <v>15.44</v>
      </c>
      <c r="O13" s="153">
        <f t="shared" si="1"/>
        <v>14.94</v>
      </c>
      <c r="P13" s="153">
        <f t="shared" si="2"/>
        <v>14.44</v>
      </c>
      <c r="Q13" s="153">
        <f t="shared" si="3"/>
        <v>13.94</v>
      </c>
      <c r="R13" s="15">
        <v>1</v>
      </c>
      <c r="S13" s="37">
        <v>0.55000000000000004</v>
      </c>
      <c r="T13" s="37">
        <f t="shared" si="4"/>
        <v>17.600000000000001</v>
      </c>
      <c r="U13" s="58">
        <v>6207999099</v>
      </c>
      <c r="V13" s="55">
        <v>0.12</v>
      </c>
      <c r="W13" s="16" t="s">
        <v>429</v>
      </c>
      <c r="X13" s="16">
        <v>17.989999999999998</v>
      </c>
      <c r="Y13" s="16">
        <v>0.42</v>
      </c>
      <c r="Z13" s="57" t="s">
        <v>44</v>
      </c>
    </row>
    <row r="14" spans="1:27" ht="18" customHeight="1">
      <c r="A14" s="15">
        <v>12</v>
      </c>
      <c r="B14" s="15" t="s">
        <v>440</v>
      </c>
      <c r="C14" s="16" t="s">
        <v>39</v>
      </c>
      <c r="D14" s="17" t="s">
        <v>426</v>
      </c>
      <c r="E14" s="22" t="s">
        <v>40</v>
      </c>
      <c r="F14" s="19" t="s">
        <v>41</v>
      </c>
      <c r="G14" s="20" t="s">
        <v>427</v>
      </c>
      <c r="H14" s="21" t="s">
        <v>41</v>
      </c>
      <c r="I14" s="38" t="s">
        <v>428</v>
      </c>
      <c r="J14" s="33">
        <v>32</v>
      </c>
      <c r="K14" s="146">
        <v>20.85</v>
      </c>
      <c r="L14" s="297">
        <v>13.44</v>
      </c>
      <c r="M14" s="297">
        <v>15.02</v>
      </c>
      <c r="N14" s="153">
        <f t="shared" si="0"/>
        <v>15.44</v>
      </c>
      <c r="O14" s="153">
        <f t="shared" si="1"/>
        <v>14.94</v>
      </c>
      <c r="P14" s="153">
        <f t="shared" si="2"/>
        <v>14.44</v>
      </c>
      <c r="Q14" s="153">
        <f t="shared" si="3"/>
        <v>13.94</v>
      </c>
      <c r="R14" s="15">
        <v>1</v>
      </c>
      <c r="S14" s="37">
        <v>0.55000000000000004</v>
      </c>
      <c r="T14" s="37">
        <f t="shared" si="4"/>
        <v>17.600000000000001</v>
      </c>
      <c r="U14" s="58">
        <v>6207999099</v>
      </c>
      <c r="V14" s="55">
        <v>0.12</v>
      </c>
      <c r="W14" s="16" t="s">
        <v>429</v>
      </c>
      <c r="X14" s="16">
        <v>17.989999999999998</v>
      </c>
      <c r="Y14" s="16">
        <v>0.42</v>
      </c>
      <c r="Z14" s="57" t="s">
        <v>44</v>
      </c>
    </row>
    <row r="15" spans="1:27" ht="18" customHeight="1">
      <c r="A15" s="15">
        <v>13</v>
      </c>
      <c r="B15" s="15" t="s">
        <v>441</v>
      </c>
      <c r="C15" s="16" t="s">
        <v>39</v>
      </c>
      <c r="D15" s="17" t="s">
        <v>426</v>
      </c>
      <c r="E15" s="22" t="s">
        <v>40</v>
      </c>
      <c r="F15" s="19" t="s">
        <v>41</v>
      </c>
      <c r="G15" s="20" t="s">
        <v>427</v>
      </c>
      <c r="H15" s="21" t="s">
        <v>41</v>
      </c>
      <c r="I15" s="38" t="s">
        <v>428</v>
      </c>
      <c r="J15" s="33">
        <v>32</v>
      </c>
      <c r="K15" s="146">
        <v>20.85</v>
      </c>
      <c r="L15" s="297">
        <v>13.44</v>
      </c>
      <c r="M15" s="297">
        <v>15.02</v>
      </c>
      <c r="N15" s="153">
        <f t="shared" si="0"/>
        <v>15.44</v>
      </c>
      <c r="O15" s="153">
        <f t="shared" si="1"/>
        <v>14.94</v>
      </c>
      <c r="P15" s="153">
        <f t="shared" si="2"/>
        <v>14.44</v>
      </c>
      <c r="Q15" s="153">
        <f t="shared" si="3"/>
        <v>13.94</v>
      </c>
      <c r="R15" s="15">
        <v>1</v>
      </c>
      <c r="S15" s="37">
        <v>0.55000000000000004</v>
      </c>
      <c r="T15" s="37">
        <f t="shared" si="4"/>
        <v>17.600000000000001</v>
      </c>
      <c r="U15" s="58">
        <v>6207999099</v>
      </c>
      <c r="V15" s="55">
        <v>0.12</v>
      </c>
      <c r="W15" s="16" t="s">
        <v>429</v>
      </c>
      <c r="X15" s="16">
        <v>17.989999999999998</v>
      </c>
      <c r="Y15" s="16">
        <v>0.42</v>
      </c>
      <c r="Z15" s="57" t="s">
        <v>44</v>
      </c>
    </row>
    <row r="16" spans="1:27" ht="18" customHeight="1">
      <c r="A16" s="15">
        <v>14</v>
      </c>
      <c r="B16" s="15" t="s">
        <v>442</v>
      </c>
      <c r="C16" s="16" t="s">
        <v>39</v>
      </c>
      <c r="D16" s="17" t="s">
        <v>426</v>
      </c>
      <c r="E16" s="22" t="s">
        <v>40</v>
      </c>
      <c r="F16" s="19" t="s">
        <v>41</v>
      </c>
      <c r="G16" s="20" t="s">
        <v>427</v>
      </c>
      <c r="H16" s="21" t="s">
        <v>41</v>
      </c>
      <c r="I16" s="38" t="s">
        <v>428</v>
      </c>
      <c r="J16" s="33">
        <v>32</v>
      </c>
      <c r="K16" s="146">
        <v>20.85</v>
      </c>
      <c r="L16" s="297">
        <v>13.44</v>
      </c>
      <c r="M16" s="297">
        <v>15.02</v>
      </c>
      <c r="N16" s="153">
        <f t="shared" si="0"/>
        <v>15.44</v>
      </c>
      <c r="O16" s="153">
        <f t="shared" si="1"/>
        <v>14.94</v>
      </c>
      <c r="P16" s="153">
        <f t="shared" si="2"/>
        <v>14.44</v>
      </c>
      <c r="Q16" s="153">
        <f t="shared" si="3"/>
        <v>13.94</v>
      </c>
      <c r="R16" s="15">
        <v>1</v>
      </c>
      <c r="S16" s="37">
        <v>0.55000000000000004</v>
      </c>
      <c r="T16" s="37">
        <f t="shared" si="4"/>
        <v>17.600000000000001</v>
      </c>
      <c r="U16" s="58">
        <v>6207999099</v>
      </c>
      <c r="V16" s="55">
        <v>0.12</v>
      </c>
      <c r="W16" s="16" t="s">
        <v>429</v>
      </c>
      <c r="X16" s="16">
        <v>17.989999999999998</v>
      </c>
      <c r="Y16" s="16">
        <v>0.42</v>
      </c>
      <c r="Z16" s="57" t="s">
        <v>44</v>
      </c>
    </row>
    <row r="17" spans="1:26" ht="18.95" customHeight="1">
      <c r="A17" s="15">
        <v>15</v>
      </c>
      <c r="B17" s="15" t="s">
        <v>443</v>
      </c>
      <c r="C17" s="16" t="s">
        <v>39</v>
      </c>
      <c r="D17" s="17" t="s">
        <v>426</v>
      </c>
      <c r="E17" s="22" t="s">
        <v>40</v>
      </c>
      <c r="F17" s="19" t="s">
        <v>41</v>
      </c>
      <c r="G17" s="20" t="s">
        <v>427</v>
      </c>
      <c r="H17" s="21" t="s">
        <v>41</v>
      </c>
      <c r="I17" s="38" t="s">
        <v>428</v>
      </c>
      <c r="J17" s="33">
        <v>32</v>
      </c>
      <c r="K17" s="146">
        <v>20.85</v>
      </c>
      <c r="L17" s="297">
        <v>13.44</v>
      </c>
      <c r="M17" s="297">
        <v>15.02</v>
      </c>
      <c r="N17" s="153">
        <f t="shared" si="0"/>
        <v>15.44</v>
      </c>
      <c r="O17" s="153">
        <f t="shared" si="1"/>
        <v>14.94</v>
      </c>
      <c r="P17" s="153">
        <f t="shared" si="2"/>
        <v>14.44</v>
      </c>
      <c r="Q17" s="153">
        <f t="shared" si="3"/>
        <v>13.94</v>
      </c>
      <c r="R17" s="15">
        <v>1</v>
      </c>
      <c r="S17" s="37">
        <v>0.55000000000000004</v>
      </c>
      <c r="T17" s="37">
        <f t="shared" si="4"/>
        <v>17.600000000000001</v>
      </c>
      <c r="U17" s="58">
        <v>6207999099</v>
      </c>
      <c r="V17" s="55">
        <v>0.12</v>
      </c>
      <c r="W17" s="16" t="s">
        <v>429</v>
      </c>
      <c r="X17" s="16">
        <v>17.989999999999998</v>
      </c>
      <c r="Y17" s="16">
        <v>0.42</v>
      </c>
      <c r="Z17" s="57" t="s">
        <v>44</v>
      </c>
    </row>
    <row r="18" spans="1:26" ht="18" customHeight="1">
      <c r="A18" s="15">
        <v>16</v>
      </c>
      <c r="B18" s="373" t="s">
        <v>444</v>
      </c>
      <c r="C18" s="24" t="s">
        <v>60</v>
      </c>
      <c r="D18" s="16" t="s">
        <v>445</v>
      </c>
      <c r="E18" s="22" t="s">
        <v>61</v>
      </c>
      <c r="F18" s="19" t="s">
        <v>41</v>
      </c>
      <c r="G18" s="20" t="s">
        <v>446</v>
      </c>
      <c r="H18" s="19" t="s">
        <v>41</v>
      </c>
      <c r="I18" s="38" t="s">
        <v>447</v>
      </c>
      <c r="J18" s="16">
        <v>48</v>
      </c>
      <c r="K18" s="369">
        <v>14.2</v>
      </c>
      <c r="L18" s="298">
        <v>16.32</v>
      </c>
      <c r="M18" s="298">
        <v>17.899999999999999</v>
      </c>
      <c r="N18" s="153">
        <f t="shared" si="0"/>
        <v>18.32</v>
      </c>
      <c r="O18" s="153">
        <f t="shared" si="1"/>
        <v>17.82</v>
      </c>
      <c r="P18" s="153">
        <f t="shared" si="2"/>
        <v>17.32</v>
      </c>
      <c r="Q18" s="153">
        <f t="shared" si="3"/>
        <v>16.82</v>
      </c>
      <c r="R18" s="344">
        <v>1</v>
      </c>
      <c r="S18" s="37">
        <v>0.33</v>
      </c>
      <c r="T18" s="37">
        <f t="shared" si="4"/>
        <v>15.84</v>
      </c>
      <c r="U18" s="58">
        <v>8424200000</v>
      </c>
      <c r="V18" s="55">
        <v>1.7000000000000001E-2</v>
      </c>
      <c r="W18" s="16" t="s">
        <v>448</v>
      </c>
      <c r="X18" s="16">
        <v>9.99</v>
      </c>
      <c r="Y18" s="16">
        <v>0.34</v>
      </c>
      <c r="Z18" s="59" t="s">
        <v>64</v>
      </c>
    </row>
    <row r="19" spans="1:26" ht="18" customHeight="1">
      <c r="A19" s="15">
        <v>17</v>
      </c>
      <c r="B19" s="373"/>
      <c r="C19" s="24" t="s">
        <v>65</v>
      </c>
      <c r="D19" s="16" t="s">
        <v>449</v>
      </c>
      <c r="E19" s="22" t="s">
        <v>66</v>
      </c>
      <c r="F19" s="19" t="s">
        <v>41</v>
      </c>
      <c r="G19" s="20" t="s">
        <v>450</v>
      </c>
      <c r="H19" s="19" t="s">
        <v>41</v>
      </c>
      <c r="I19" s="41" t="s">
        <v>451</v>
      </c>
      <c r="J19" s="16">
        <v>30</v>
      </c>
      <c r="K19" s="370"/>
      <c r="L19" s="299">
        <v>1.7999999999999998</v>
      </c>
      <c r="M19" s="299">
        <v>3.38</v>
      </c>
      <c r="N19" s="153">
        <f t="shared" si="0"/>
        <v>3.8</v>
      </c>
      <c r="O19" s="153">
        <f t="shared" si="1"/>
        <v>3.3</v>
      </c>
      <c r="P19" s="153">
        <f t="shared" si="2"/>
        <v>2.8</v>
      </c>
      <c r="Q19" s="153">
        <f t="shared" si="3"/>
        <v>2.2999999999999998</v>
      </c>
      <c r="R19" s="345"/>
      <c r="S19" s="37">
        <v>0.22</v>
      </c>
      <c r="T19" s="37">
        <f t="shared" si="4"/>
        <v>6.6</v>
      </c>
      <c r="U19" s="58">
        <v>3923109090</v>
      </c>
      <c r="V19" s="55">
        <v>6.5000000000000002E-2</v>
      </c>
      <c r="W19" s="16" t="s">
        <v>452</v>
      </c>
      <c r="X19" s="16">
        <v>6.45</v>
      </c>
      <c r="Y19" s="16">
        <v>0.06</v>
      </c>
      <c r="Z19" s="60" t="s">
        <v>69</v>
      </c>
    </row>
    <row r="20" spans="1:26" ht="18" customHeight="1">
      <c r="A20" s="15">
        <v>18</v>
      </c>
      <c r="B20" s="373" t="s">
        <v>453</v>
      </c>
      <c r="C20" s="24" t="s">
        <v>60</v>
      </c>
      <c r="D20" s="16" t="s">
        <v>445</v>
      </c>
      <c r="E20" s="22" t="s">
        <v>61</v>
      </c>
      <c r="F20" s="19" t="s">
        <v>41</v>
      </c>
      <c r="G20" s="20" t="s">
        <v>446</v>
      </c>
      <c r="H20" s="19" t="s">
        <v>41</v>
      </c>
      <c r="I20" s="38" t="s">
        <v>447</v>
      </c>
      <c r="J20" s="16">
        <v>48</v>
      </c>
      <c r="K20" s="369">
        <v>14.2</v>
      </c>
      <c r="L20" s="298">
        <v>16.32</v>
      </c>
      <c r="M20" s="298">
        <v>17.899999999999999</v>
      </c>
      <c r="N20" s="153">
        <f t="shared" si="0"/>
        <v>18.32</v>
      </c>
      <c r="O20" s="153">
        <f t="shared" si="1"/>
        <v>17.82</v>
      </c>
      <c r="P20" s="153">
        <f t="shared" si="2"/>
        <v>17.32</v>
      </c>
      <c r="Q20" s="153">
        <f t="shared" si="3"/>
        <v>16.82</v>
      </c>
      <c r="R20" s="344">
        <v>1</v>
      </c>
      <c r="S20" s="37">
        <v>0.33</v>
      </c>
      <c r="T20" s="37">
        <f t="shared" si="4"/>
        <v>15.84</v>
      </c>
      <c r="U20" s="58">
        <v>8424200000</v>
      </c>
      <c r="V20" s="55">
        <v>1.7000000000000001E-2</v>
      </c>
      <c r="W20" s="16" t="s">
        <v>448</v>
      </c>
      <c r="X20" s="16">
        <v>9.99</v>
      </c>
      <c r="Y20" s="16">
        <v>0.34</v>
      </c>
      <c r="Z20" s="60" t="s">
        <v>64</v>
      </c>
    </row>
    <row r="21" spans="1:26" ht="18" customHeight="1">
      <c r="A21" s="15">
        <v>19</v>
      </c>
      <c r="B21" s="373"/>
      <c r="C21" s="24" t="s">
        <v>65</v>
      </c>
      <c r="D21" s="16" t="s">
        <v>449</v>
      </c>
      <c r="E21" s="22" t="s">
        <v>66</v>
      </c>
      <c r="F21" s="19" t="s">
        <v>41</v>
      </c>
      <c r="G21" s="20" t="s">
        <v>450</v>
      </c>
      <c r="H21" s="19" t="s">
        <v>41</v>
      </c>
      <c r="I21" s="41" t="s">
        <v>451</v>
      </c>
      <c r="J21" s="16">
        <v>30</v>
      </c>
      <c r="K21" s="370"/>
      <c r="L21" s="299">
        <v>1.7999999999999998</v>
      </c>
      <c r="M21" s="299">
        <v>3.38</v>
      </c>
      <c r="N21" s="153">
        <f t="shared" si="0"/>
        <v>3.8</v>
      </c>
      <c r="O21" s="153">
        <f t="shared" si="1"/>
        <v>3.3</v>
      </c>
      <c r="P21" s="153">
        <f t="shared" si="2"/>
        <v>2.8</v>
      </c>
      <c r="Q21" s="153">
        <f t="shared" si="3"/>
        <v>2.2999999999999998</v>
      </c>
      <c r="R21" s="345"/>
      <c r="S21" s="37">
        <v>0.22</v>
      </c>
      <c r="T21" s="37">
        <f t="shared" si="4"/>
        <v>6.6</v>
      </c>
      <c r="U21" s="58">
        <v>3923109090</v>
      </c>
      <c r="V21" s="55">
        <v>6.5000000000000002E-2</v>
      </c>
      <c r="W21" s="16" t="s">
        <v>452</v>
      </c>
      <c r="X21" s="16">
        <v>6.45</v>
      </c>
      <c r="Y21" s="16">
        <v>0.06</v>
      </c>
      <c r="Z21" s="60" t="s">
        <v>69</v>
      </c>
    </row>
    <row r="22" spans="1:26" ht="18" customHeight="1">
      <c r="A22" s="15">
        <v>20</v>
      </c>
      <c r="B22" s="373" t="s">
        <v>454</v>
      </c>
      <c r="C22" s="24" t="s">
        <v>60</v>
      </c>
      <c r="D22" s="16" t="s">
        <v>445</v>
      </c>
      <c r="E22" s="22" t="s">
        <v>61</v>
      </c>
      <c r="F22" s="19" t="s">
        <v>41</v>
      </c>
      <c r="G22" s="20" t="s">
        <v>446</v>
      </c>
      <c r="H22" s="19" t="s">
        <v>41</v>
      </c>
      <c r="I22" s="38" t="s">
        <v>447</v>
      </c>
      <c r="J22" s="16">
        <v>48</v>
      </c>
      <c r="K22" s="369">
        <v>14.2</v>
      </c>
      <c r="L22" s="298">
        <v>16.32</v>
      </c>
      <c r="M22" s="298">
        <v>17.899999999999999</v>
      </c>
      <c r="N22" s="153">
        <f t="shared" si="0"/>
        <v>18.32</v>
      </c>
      <c r="O22" s="153">
        <f t="shared" si="1"/>
        <v>17.82</v>
      </c>
      <c r="P22" s="153">
        <f t="shared" si="2"/>
        <v>17.32</v>
      </c>
      <c r="Q22" s="153">
        <f t="shared" si="3"/>
        <v>16.82</v>
      </c>
      <c r="R22" s="344">
        <v>1</v>
      </c>
      <c r="S22" s="37">
        <v>0.33</v>
      </c>
      <c r="T22" s="37">
        <f t="shared" si="4"/>
        <v>15.84</v>
      </c>
      <c r="U22" s="58">
        <v>8424200000</v>
      </c>
      <c r="V22" s="55">
        <v>1.7000000000000001E-2</v>
      </c>
      <c r="W22" s="16" t="s">
        <v>448</v>
      </c>
      <c r="X22" s="16">
        <v>9.99</v>
      </c>
      <c r="Y22" s="16">
        <v>0.34</v>
      </c>
      <c r="Z22" s="60" t="s">
        <v>64</v>
      </c>
    </row>
    <row r="23" spans="1:26" ht="18" customHeight="1">
      <c r="A23" s="15">
        <v>21</v>
      </c>
      <c r="B23" s="373"/>
      <c r="C23" s="24" t="s">
        <v>65</v>
      </c>
      <c r="D23" s="16" t="s">
        <v>449</v>
      </c>
      <c r="E23" s="22" t="s">
        <v>66</v>
      </c>
      <c r="F23" s="19" t="s">
        <v>41</v>
      </c>
      <c r="G23" s="20" t="s">
        <v>450</v>
      </c>
      <c r="H23" s="19" t="s">
        <v>41</v>
      </c>
      <c r="I23" s="41" t="s">
        <v>451</v>
      </c>
      <c r="J23" s="16">
        <v>30</v>
      </c>
      <c r="K23" s="370"/>
      <c r="L23" s="299">
        <v>1.7999999999999998</v>
      </c>
      <c r="M23" s="299">
        <v>3.38</v>
      </c>
      <c r="N23" s="153">
        <f t="shared" si="0"/>
        <v>3.8</v>
      </c>
      <c r="O23" s="153">
        <f t="shared" si="1"/>
        <v>3.3</v>
      </c>
      <c r="P23" s="153">
        <f t="shared" si="2"/>
        <v>2.8</v>
      </c>
      <c r="Q23" s="153">
        <f t="shared" si="3"/>
        <v>2.2999999999999998</v>
      </c>
      <c r="R23" s="345"/>
      <c r="S23" s="37">
        <v>0.22</v>
      </c>
      <c r="T23" s="37">
        <f t="shared" si="4"/>
        <v>6.6</v>
      </c>
      <c r="U23" s="58">
        <v>3923109090</v>
      </c>
      <c r="V23" s="55">
        <v>6.5000000000000002E-2</v>
      </c>
      <c r="W23" s="16" t="s">
        <v>452</v>
      </c>
      <c r="X23" s="16">
        <v>6.45</v>
      </c>
      <c r="Y23" s="16">
        <v>0.06</v>
      </c>
      <c r="Z23" s="60" t="s">
        <v>69</v>
      </c>
    </row>
    <row r="24" spans="1:26" ht="18" customHeight="1">
      <c r="A24" s="15">
        <v>22</v>
      </c>
      <c r="B24" s="373" t="s">
        <v>455</v>
      </c>
      <c r="C24" s="24" t="s">
        <v>60</v>
      </c>
      <c r="D24" s="16" t="s">
        <v>445</v>
      </c>
      <c r="E24" s="22" t="s">
        <v>61</v>
      </c>
      <c r="F24" s="19" t="s">
        <v>41</v>
      </c>
      <c r="G24" s="20" t="s">
        <v>446</v>
      </c>
      <c r="H24" s="19" t="s">
        <v>41</v>
      </c>
      <c r="I24" s="38" t="s">
        <v>447</v>
      </c>
      <c r="J24" s="16">
        <v>48</v>
      </c>
      <c r="K24" s="369">
        <v>14.2</v>
      </c>
      <c r="L24" s="298">
        <v>16.32</v>
      </c>
      <c r="M24" s="298">
        <v>17.899999999999999</v>
      </c>
      <c r="N24" s="153">
        <f t="shared" si="0"/>
        <v>18.32</v>
      </c>
      <c r="O24" s="153">
        <f t="shared" si="1"/>
        <v>17.82</v>
      </c>
      <c r="P24" s="153">
        <f t="shared" si="2"/>
        <v>17.32</v>
      </c>
      <c r="Q24" s="153">
        <f t="shared" si="3"/>
        <v>16.82</v>
      </c>
      <c r="R24" s="344">
        <v>1</v>
      </c>
      <c r="S24" s="37">
        <v>0.33</v>
      </c>
      <c r="T24" s="37">
        <f t="shared" si="4"/>
        <v>15.84</v>
      </c>
      <c r="U24" s="58">
        <v>8424200000</v>
      </c>
      <c r="V24" s="55">
        <v>1.7000000000000001E-2</v>
      </c>
      <c r="W24" s="16" t="s">
        <v>448</v>
      </c>
      <c r="X24" s="16">
        <v>9.99</v>
      </c>
      <c r="Y24" s="16">
        <v>0.34</v>
      </c>
      <c r="Z24" s="60" t="s">
        <v>64</v>
      </c>
    </row>
    <row r="25" spans="1:26" ht="18" customHeight="1">
      <c r="A25" s="15">
        <v>23</v>
      </c>
      <c r="B25" s="373"/>
      <c r="C25" s="24" t="s">
        <v>65</v>
      </c>
      <c r="D25" s="16" t="s">
        <v>449</v>
      </c>
      <c r="E25" s="22" t="s">
        <v>66</v>
      </c>
      <c r="F25" s="19" t="s">
        <v>41</v>
      </c>
      <c r="G25" s="20" t="s">
        <v>450</v>
      </c>
      <c r="H25" s="19" t="s">
        <v>41</v>
      </c>
      <c r="I25" s="41" t="s">
        <v>451</v>
      </c>
      <c r="J25" s="16">
        <v>30</v>
      </c>
      <c r="K25" s="370"/>
      <c r="L25" s="299">
        <v>1.7999999999999998</v>
      </c>
      <c r="M25" s="299">
        <v>3.38</v>
      </c>
      <c r="N25" s="153">
        <f t="shared" si="0"/>
        <v>3.8</v>
      </c>
      <c r="O25" s="153">
        <f t="shared" si="1"/>
        <v>3.3</v>
      </c>
      <c r="P25" s="153">
        <f t="shared" si="2"/>
        <v>2.8</v>
      </c>
      <c r="Q25" s="153">
        <f t="shared" si="3"/>
        <v>2.2999999999999998</v>
      </c>
      <c r="R25" s="345"/>
      <c r="S25" s="37">
        <v>0.22</v>
      </c>
      <c r="T25" s="37">
        <f t="shared" si="4"/>
        <v>6.6</v>
      </c>
      <c r="U25" s="58">
        <v>3923109090</v>
      </c>
      <c r="V25" s="55">
        <v>6.5000000000000002E-2</v>
      </c>
      <c r="W25" s="16" t="s">
        <v>452</v>
      </c>
      <c r="X25" s="16">
        <v>6.45</v>
      </c>
      <c r="Y25" s="16">
        <v>0.06</v>
      </c>
      <c r="Z25" s="60" t="s">
        <v>69</v>
      </c>
    </row>
    <row r="26" spans="1:26" ht="18" customHeight="1">
      <c r="A26" s="15">
        <v>24</v>
      </c>
      <c r="B26" s="373" t="s">
        <v>456</v>
      </c>
      <c r="C26" s="24" t="s">
        <v>60</v>
      </c>
      <c r="D26" s="16" t="s">
        <v>445</v>
      </c>
      <c r="E26" s="22" t="s">
        <v>61</v>
      </c>
      <c r="F26" s="19" t="s">
        <v>41</v>
      </c>
      <c r="G26" s="20" t="s">
        <v>446</v>
      </c>
      <c r="H26" s="19" t="s">
        <v>41</v>
      </c>
      <c r="I26" s="38" t="s">
        <v>447</v>
      </c>
      <c r="J26" s="16">
        <v>48</v>
      </c>
      <c r="K26" s="369">
        <v>14.2</v>
      </c>
      <c r="L26" s="298">
        <v>16.32</v>
      </c>
      <c r="M26" s="298">
        <v>17.899999999999999</v>
      </c>
      <c r="N26" s="153">
        <f t="shared" si="0"/>
        <v>18.32</v>
      </c>
      <c r="O26" s="153">
        <f t="shared" si="1"/>
        <v>17.82</v>
      </c>
      <c r="P26" s="153">
        <f t="shared" si="2"/>
        <v>17.32</v>
      </c>
      <c r="Q26" s="153">
        <f t="shared" si="3"/>
        <v>16.82</v>
      </c>
      <c r="R26" s="344">
        <v>1</v>
      </c>
      <c r="S26" s="37">
        <v>0.33</v>
      </c>
      <c r="T26" s="37">
        <f t="shared" si="4"/>
        <v>15.84</v>
      </c>
      <c r="U26" s="58">
        <v>8424200000</v>
      </c>
      <c r="V26" s="55">
        <v>1.7000000000000001E-2</v>
      </c>
      <c r="W26" s="16" t="s">
        <v>448</v>
      </c>
      <c r="X26" s="16">
        <v>9.99</v>
      </c>
      <c r="Y26" s="16">
        <v>0.34</v>
      </c>
      <c r="Z26" s="60" t="s">
        <v>64</v>
      </c>
    </row>
    <row r="27" spans="1:26" ht="18" customHeight="1">
      <c r="A27" s="15">
        <v>25</v>
      </c>
      <c r="B27" s="373"/>
      <c r="C27" s="24" t="s">
        <v>65</v>
      </c>
      <c r="D27" s="16" t="s">
        <v>449</v>
      </c>
      <c r="E27" s="22" t="s">
        <v>66</v>
      </c>
      <c r="F27" s="19" t="s">
        <v>41</v>
      </c>
      <c r="G27" s="20" t="s">
        <v>450</v>
      </c>
      <c r="H27" s="19" t="s">
        <v>41</v>
      </c>
      <c r="I27" s="41" t="s">
        <v>451</v>
      </c>
      <c r="J27" s="16">
        <v>30</v>
      </c>
      <c r="K27" s="370"/>
      <c r="L27" s="299">
        <v>1.7999999999999998</v>
      </c>
      <c r="M27" s="299">
        <v>3.38</v>
      </c>
      <c r="N27" s="153">
        <f t="shared" si="0"/>
        <v>3.8</v>
      </c>
      <c r="O27" s="153">
        <f t="shared" si="1"/>
        <v>3.3</v>
      </c>
      <c r="P27" s="153">
        <f t="shared" si="2"/>
        <v>2.8</v>
      </c>
      <c r="Q27" s="153">
        <f t="shared" si="3"/>
        <v>2.2999999999999998</v>
      </c>
      <c r="R27" s="345"/>
      <c r="S27" s="37">
        <v>0.22</v>
      </c>
      <c r="T27" s="37">
        <f t="shared" si="4"/>
        <v>6.6</v>
      </c>
      <c r="U27" s="58">
        <v>3923109090</v>
      </c>
      <c r="V27" s="55">
        <v>6.5000000000000002E-2</v>
      </c>
      <c r="W27" s="16" t="s">
        <v>452</v>
      </c>
      <c r="X27" s="16">
        <v>6.45</v>
      </c>
      <c r="Y27" s="16">
        <v>0.06</v>
      </c>
      <c r="Z27" s="60" t="s">
        <v>69</v>
      </c>
    </row>
    <row r="28" spans="1:26" ht="18" customHeight="1">
      <c r="A28" s="15">
        <v>26</v>
      </c>
      <c r="B28" s="373" t="s">
        <v>457</v>
      </c>
      <c r="C28" s="24" t="s">
        <v>60</v>
      </c>
      <c r="D28" s="16" t="s">
        <v>445</v>
      </c>
      <c r="E28" s="22" t="s">
        <v>61</v>
      </c>
      <c r="F28" s="19" t="s">
        <v>41</v>
      </c>
      <c r="G28" s="20" t="s">
        <v>446</v>
      </c>
      <c r="H28" s="19" t="s">
        <v>41</v>
      </c>
      <c r="I28" s="38" t="s">
        <v>447</v>
      </c>
      <c r="J28" s="16">
        <v>48</v>
      </c>
      <c r="K28" s="369">
        <v>14.2</v>
      </c>
      <c r="L28" s="298">
        <v>16.32</v>
      </c>
      <c r="M28" s="298">
        <v>17.899999999999999</v>
      </c>
      <c r="N28" s="153">
        <f t="shared" si="0"/>
        <v>18.32</v>
      </c>
      <c r="O28" s="153">
        <f t="shared" si="1"/>
        <v>17.82</v>
      </c>
      <c r="P28" s="153">
        <f t="shared" si="2"/>
        <v>17.32</v>
      </c>
      <c r="Q28" s="153">
        <f t="shared" si="3"/>
        <v>16.82</v>
      </c>
      <c r="R28" s="344">
        <v>1</v>
      </c>
      <c r="S28" s="37">
        <v>0.33</v>
      </c>
      <c r="T28" s="37">
        <f t="shared" si="4"/>
        <v>15.84</v>
      </c>
      <c r="U28" s="58">
        <v>8424200000</v>
      </c>
      <c r="V28" s="55">
        <v>1.7000000000000001E-2</v>
      </c>
      <c r="W28" s="16" t="s">
        <v>448</v>
      </c>
      <c r="X28" s="16">
        <v>9.99</v>
      </c>
      <c r="Y28" s="16">
        <v>0.34</v>
      </c>
      <c r="Z28" s="60" t="s">
        <v>64</v>
      </c>
    </row>
    <row r="29" spans="1:26" ht="18" customHeight="1">
      <c r="A29" s="15">
        <v>27</v>
      </c>
      <c r="B29" s="373"/>
      <c r="C29" s="24" t="s">
        <v>65</v>
      </c>
      <c r="D29" s="16" t="s">
        <v>449</v>
      </c>
      <c r="E29" s="22" t="s">
        <v>66</v>
      </c>
      <c r="F29" s="19" t="s">
        <v>41</v>
      </c>
      <c r="G29" s="20" t="s">
        <v>450</v>
      </c>
      <c r="H29" s="19" t="s">
        <v>41</v>
      </c>
      <c r="I29" s="41" t="s">
        <v>451</v>
      </c>
      <c r="J29" s="16">
        <v>30</v>
      </c>
      <c r="K29" s="370"/>
      <c r="L29" s="299">
        <v>1.7999999999999998</v>
      </c>
      <c r="M29" s="299">
        <v>3.38</v>
      </c>
      <c r="N29" s="153">
        <f t="shared" si="0"/>
        <v>3.8</v>
      </c>
      <c r="O29" s="153">
        <f t="shared" si="1"/>
        <v>3.3</v>
      </c>
      <c r="P29" s="153">
        <f t="shared" si="2"/>
        <v>2.8</v>
      </c>
      <c r="Q29" s="153">
        <f t="shared" si="3"/>
        <v>2.2999999999999998</v>
      </c>
      <c r="R29" s="345"/>
      <c r="S29" s="37">
        <v>0.22</v>
      </c>
      <c r="T29" s="37">
        <f t="shared" si="4"/>
        <v>6.6</v>
      </c>
      <c r="U29" s="58">
        <v>3923109090</v>
      </c>
      <c r="V29" s="55">
        <v>6.5000000000000002E-2</v>
      </c>
      <c r="W29" s="16" t="s">
        <v>452</v>
      </c>
      <c r="X29" s="16">
        <v>6.45</v>
      </c>
      <c r="Y29" s="16">
        <v>0.06</v>
      </c>
      <c r="Z29" s="60" t="s">
        <v>69</v>
      </c>
    </row>
    <row r="30" spans="1:26" ht="18" customHeight="1">
      <c r="A30" s="15">
        <v>28</v>
      </c>
      <c r="B30" s="373" t="s">
        <v>458</v>
      </c>
      <c r="C30" s="24" t="s">
        <v>60</v>
      </c>
      <c r="D30" s="16" t="s">
        <v>445</v>
      </c>
      <c r="E30" s="22" t="s">
        <v>61</v>
      </c>
      <c r="F30" s="19" t="s">
        <v>41</v>
      </c>
      <c r="G30" s="20" t="s">
        <v>446</v>
      </c>
      <c r="H30" s="19" t="s">
        <v>41</v>
      </c>
      <c r="I30" s="38" t="s">
        <v>447</v>
      </c>
      <c r="J30" s="16">
        <v>48</v>
      </c>
      <c r="K30" s="369">
        <v>14.2</v>
      </c>
      <c r="L30" s="298">
        <v>16.32</v>
      </c>
      <c r="M30" s="298">
        <v>17.899999999999999</v>
      </c>
      <c r="N30" s="153">
        <f t="shared" si="0"/>
        <v>18.32</v>
      </c>
      <c r="O30" s="153">
        <f t="shared" si="1"/>
        <v>17.82</v>
      </c>
      <c r="P30" s="153">
        <f t="shared" si="2"/>
        <v>17.32</v>
      </c>
      <c r="Q30" s="153">
        <f t="shared" si="3"/>
        <v>16.82</v>
      </c>
      <c r="R30" s="344">
        <v>1</v>
      </c>
      <c r="S30" s="37">
        <v>0.33</v>
      </c>
      <c r="T30" s="37">
        <f t="shared" si="4"/>
        <v>15.84</v>
      </c>
      <c r="U30" s="58">
        <v>8424200000</v>
      </c>
      <c r="V30" s="55">
        <v>1.7000000000000001E-2</v>
      </c>
      <c r="W30" s="16" t="s">
        <v>448</v>
      </c>
      <c r="X30" s="16">
        <v>9.99</v>
      </c>
      <c r="Y30" s="16">
        <v>0.34</v>
      </c>
      <c r="Z30" s="60" t="s">
        <v>64</v>
      </c>
    </row>
    <row r="31" spans="1:26" ht="18" customHeight="1">
      <c r="A31" s="15">
        <v>29</v>
      </c>
      <c r="B31" s="373"/>
      <c r="C31" s="24" t="s">
        <v>65</v>
      </c>
      <c r="D31" s="16" t="s">
        <v>449</v>
      </c>
      <c r="E31" s="22" t="s">
        <v>66</v>
      </c>
      <c r="F31" s="19" t="s">
        <v>41</v>
      </c>
      <c r="G31" s="20" t="s">
        <v>450</v>
      </c>
      <c r="H31" s="19" t="s">
        <v>41</v>
      </c>
      <c r="I31" s="41" t="s">
        <v>451</v>
      </c>
      <c r="J31" s="16">
        <v>30</v>
      </c>
      <c r="K31" s="370"/>
      <c r="L31" s="299">
        <v>1.7999999999999998</v>
      </c>
      <c r="M31" s="299">
        <v>3.38</v>
      </c>
      <c r="N31" s="153">
        <f t="shared" si="0"/>
        <v>3.8</v>
      </c>
      <c r="O31" s="153">
        <f t="shared" si="1"/>
        <v>3.3</v>
      </c>
      <c r="P31" s="153">
        <f t="shared" si="2"/>
        <v>2.8</v>
      </c>
      <c r="Q31" s="153">
        <f t="shared" si="3"/>
        <v>2.2999999999999998</v>
      </c>
      <c r="R31" s="345"/>
      <c r="S31" s="37">
        <v>0.22</v>
      </c>
      <c r="T31" s="37">
        <f t="shared" si="4"/>
        <v>6.6</v>
      </c>
      <c r="U31" s="58">
        <v>3923109090</v>
      </c>
      <c r="V31" s="55">
        <v>6.5000000000000002E-2</v>
      </c>
      <c r="W31" s="16" t="s">
        <v>452</v>
      </c>
      <c r="X31" s="16">
        <v>6.45</v>
      </c>
      <c r="Y31" s="16">
        <v>0.06</v>
      </c>
      <c r="Z31" s="60" t="s">
        <v>69</v>
      </c>
    </row>
    <row r="32" spans="1:26" ht="18" customHeight="1">
      <c r="A32" s="15">
        <v>30</v>
      </c>
      <c r="B32" s="373" t="s">
        <v>459</v>
      </c>
      <c r="C32" s="24" t="s">
        <v>60</v>
      </c>
      <c r="D32" s="16" t="s">
        <v>445</v>
      </c>
      <c r="E32" s="22" t="s">
        <v>61</v>
      </c>
      <c r="F32" s="19" t="s">
        <v>41</v>
      </c>
      <c r="G32" s="20" t="s">
        <v>446</v>
      </c>
      <c r="H32" s="19" t="s">
        <v>41</v>
      </c>
      <c r="I32" s="38" t="s">
        <v>447</v>
      </c>
      <c r="J32" s="16">
        <v>48</v>
      </c>
      <c r="K32" s="369">
        <v>14.2</v>
      </c>
      <c r="L32" s="298">
        <v>16.32</v>
      </c>
      <c r="M32" s="298">
        <v>17.899999999999999</v>
      </c>
      <c r="N32" s="153">
        <f t="shared" si="0"/>
        <v>18.32</v>
      </c>
      <c r="O32" s="153">
        <f t="shared" si="1"/>
        <v>17.82</v>
      </c>
      <c r="P32" s="153">
        <f t="shared" si="2"/>
        <v>17.32</v>
      </c>
      <c r="Q32" s="153">
        <f t="shared" si="3"/>
        <v>16.82</v>
      </c>
      <c r="R32" s="344">
        <v>1</v>
      </c>
      <c r="S32" s="37">
        <v>0.33</v>
      </c>
      <c r="T32" s="37">
        <f t="shared" si="4"/>
        <v>15.84</v>
      </c>
      <c r="U32" s="58">
        <v>8424200000</v>
      </c>
      <c r="V32" s="55">
        <v>1.7000000000000001E-2</v>
      </c>
      <c r="W32" s="16" t="s">
        <v>448</v>
      </c>
      <c r="X32" s="16">
        <v>9.99</v>
      </c>
      <c r="Y32" s="16">
        <v>0.34</v>
      </c>
      <c r="Z32" s="60" t="s">
        <v>64</v>
      </c>
    </row>
    <row r="33" spans="1:26" ht="18" customHeight="1">
      <c r="A33" s="15">
        <v>31</v>
      </c>
      <c r="B33" s="373"/>
      <c r="C33" s="24" t="s">
        <v>65</v>
      </c>
      <c r="D33" s="16" t="s">
        <v>449</v>
      </c>
      <c r="E33" s="22" t="s">
        <v>66</v>
      </c>
      <c r="F33" s="19" t="s">
        <v>41</v>
      </c>
      <c r="G33" s="20" t="s">
        <v>450</v>
      </c>
      <c r="H33" s="19" t="s">
        <v>41</v>
      </c>
      <c r="I33" s="41" t="s">
        <v>451</v>
      </c>
      <c r="J33" s="16">
        <v>30</v>
      </c>
      <c r="K33" s="370"/>
      <c r="L33" s="299">
        <v>1.7999999999999998</v>
      </c>
      <c r="M33" s="299">
        <v>3.38</v>
      </c>
      <c r="N33" s="153">
        <f t="shared" si="0"/>
        <v>3.8</v>
      </c>
      <c r="O33" s="153">
        <f t="shared" si="1"/>
        <v>3.3</v>
      </c>
      <c r="P33" s="153">
        <f t="shared" si="2"/>
        <v>2.8</v>
      </c>
      <c r="Q33" s="153">
        <f t="shared" si="3"/>
        <v>2.2999999999999998</v>
      </c>
      <c r="R33" s="345"/>
      <c r="S33" s="37">
        <v>0.22</v>
      </c>
      <c r="T33" s="37">
        <f t="shared" si="4"/>
        <v>6.6</v>
      </c>
      <c r="U33" s="58">
        <v>3923109090</v>
      </c>
      <c r="V33" s="55">
        <v>6.5000000000000002E-2</v>
      </c>
      <c r="W33" s="16" t="s">
        <v>452</v>
      </c>
      <c r="X33" s="16">
        <v>6.45</v>
      </c>
      <c r="Y33" s="16">
        <v>0.06</v>
      </c>
      <c r="Z33" s="60" t="s">
        <v>69</v>
      </c>
    </row>
    <row r="34" spans="1:26" ht="18" customHeight="1">
      <c r="A34" s="15">
        <v>32</v>
      </c>
      <c r="B34" s="373" t="s">
        <v>460</v>
      </c>
      <c r="C34" s="24" t="s">
        <v>60</v>
      </c>
      <c r="D34" s="16" t="s">
        <v>445</v>
      </c>
      <c r="E34" s="22" t="s">
        <v>61</v>
      </c>
      <c r="F34" s="19" t="s">
        <v>41</v>
      </c>
      <c r="G34" s="20" t="s">
        <v>446</v>
      </c>
      <c r="H34" s="19" t="s">
        <v>41</v>
      </c>
      <c r="I34" s="38" t="s">
        <v>447</v>
      </c>
      <c r="J34" s="16">
        <v>48</v>
      </c>
      <c r="K34" s="369">
        <v>14.2</v>
      </c>
      <c r="L34" s="298">
        <v>16.32</v>
      </c>
      <c r="M34" s="298">
        <v>17.899999999999999</v>
      </c>
      <c r="N34" s="153">
        <f t="shared" si="0"/>
        <v>18.32</v>
      </c>
      <c r="O34" s="153">
        <f t="shared" si="1"/>
        <v>17.82</v>
      </c>
      <c r="P34" s="153">
        <f t="shared" si="2"/>
        <v>17.32</v>
      </c>
      <c r="Q34" s="153">
        <f t="shared" si="3"/>
        <v>16.82</v>
      </c>
      <c r="R34" s="344">
        <v>1</v>
      </c>
      <c r="S34" s="37">
        <v>0.33</v>
      </c>
      <c r="T34" s="37">
        <f t="shared" si="4"/>
        <v>15.84</v>
      </c>
      <c r="U34" s="58">
        <v>8424200000</v>
      </c>
      <c r="V34" s="55">
        <v>1.7000000000000001E-2</v>
      </c>
      <c r="W34" s="16" t="s">
        <v>448</v>
      </c>
      <c r="X34" s="16">
        <v>9.99</v>
      </c>
      <c r="Y34" s="16">
        <v>0.34</v>
      </c>
      <c r="Z34" s="60" t="s">
        <v>64</v>
      </c>
    </row>
    <row r="35" spans="1:26" ht="18" customHeight="1">
      <c r="A35" s="15">
        <v>33</v>
      </c>
      <c r="B35" s="373"/>
      <c r="C35" s="24" t="s">
        <v>65</v>
      </c>
      <c r="D35" s="16" t="s">
        <v>449</v>
      </c>
      <c r="E35" s="22" t="s">
        <v>66</v>
      </c>
      <c r="F35" s="19" t="s">
        <v>41</v>
      </c>
      <c r="G35" s="20" t="s">
        <v>450</v>
      </c>
      <c r="H35" s="19" t="s">
        <v>41</v>
      </c>
      <c r="I35" s="41" t="s">
        <v>451</v>
      </c>
      <c r="J35" s="16">
        <v>30</v>
      </c>
      <c r="K35" s="370"/>
      <c r="L35" s="299">
        <v>1.7999999999999998</v>
      </c>
      <c r="M35" s="299">
        <v>3.38</v>
      </c>
      <c r="N35" s="153">
        <f t="shared" ref="N35:N66" si="5">J35*Y35+2</f>
        <v>3.8</v>
      </c>
      <c r="O35" s="153">
        <f t="shared" ref="O35:O66" si="6">J35*Y35+1.5</f>
        <v>3.3</v>
      </c>
      <c r="P35" s="153">
        <f t="shared" ref="P35:P66" si="7">J35*Y35+1</f>
        <v>2.8</v>
      </c>
      <c r="Q35" s="153">
        <f t="shared" ref="Q35:Q66" si="8">J35*Y35+0.5</f>
        <v>2.2999999999999998</v>
      </c>
      <c r="R35" s="345"/>
      <c r="S35" s="37">
        <v>0.22</v>
      </c>
      <c r="T35" s="37">
        <f t="shared" ref="T35:T66" si="9">S35*J35</f>
        <v>6.6</v>
      </c>
      <c r="U35" s="58">
        <v>3923109090</v>
      </c>
      <c r="V35" s="55">
        <v>6.5000000000000002E-2</v>
      </c>
      <c r="W35" s="16" t="s">
        <v>452</v>
      </c>
      <c r="X35" s="16">
        <v>6.45</v>
      </c>
      <c r="Y35" s="16">
        <v>0.06</v>
      </c>
      <c r="Z35" s="60" t="s">
        <v>69</v>
      </c>
    </row>
    <row r="36" spans="1:26" ht="18" customHeight="1">
      <c r="A36" s="15">
        <v>34</v>
      </c>
      <c r="B36" s="373" t="s">
        <v>461</v>
      </c>
      <c r="C36" s="24" t="s">
        <v>60</v>
      </c>
      <c r="D36" s="16" t="s">
        <v>445</v>
      </c>
      <c r="E36" s="22" t="s">
        <v>61</v>
      </c>
      <c r="F36" s="19" t="s">
        <v>41</v>
      </c>
      <c r="G36" s="20" t="s">
        <v>446</v>
      </c>
      <c r="H36" s="19" t="s">
        <v>41</v>
      </c>
      <c r="I36" s="38" t="s">
        <v>447</v>
      </c>
      <c r="J36" s="16">
        <v>48</v>
      </c>
      <c r="K36" s="369">
        <v>14.2</v>
      </c>
      <c r="L36" s="298">
        <v>16.32</v>
      </c>
      <c r="M36" s="298">
        <v>17.899999999999999</v>
      </c>
      <c r="N36" s="153">
        <f t="shared" si="5"/>
        <v>18.32</v>
      </c>
      <c r="O36" s="153">
        <f t="shared" si="6"/>
        <v>17.82</v>
      </c>
      <c r="P36" s="153">
        <f t="shared" si="7"/>
        <v>17.32</v>
      </c>
      <c r="Q36" s="153">
        <f t="shared" si="8"/>
        <v>16.82</v>
      </c>
      <c r="R36" s="344">
        <v>1</v>
      </c>
      <c r="S36" s="37">
        <v>0.33</v>
      </c>
      <c r="T36" s="37">
        <f t="shared" si="9"/>
        <v>15.84</v>
      </c>
      <c r="U36" s="58">
        <v>8424200000</v>
      </c>
      <c r="V36" s="55">
        <v>1.7000000000000001E-2</v>
      </c>
      <c r="W36" s="16" t="s">
        <v>448</v>
      </c>
      <c r="X36" s="16">
        <v>9.99</v>
      </c>
      <c r="Y36" s="16">
        <v>0.34</v>
      </c>
      <c r="Z36" s="60" t="s">
        <v>64</v>
      </c>
    </row>
    <row r="37" spans="1:26" ht="18" customHeight="1">
      <c r="A37" s="15">
        <v>35</v>
      </c>
      <c r="B37" s="373"/>
      <c r="C37" s="24" t="s">
        <v>65</v>
      </c>
      <c r="D37" s="16" t="s">
        <v>449</v>
      </c>
      <c r="E37" s="22" t="s">
        <v>66</v>
      </c>
      <c r="F37" s="19" t="s">
        <v>41</v>
      </c>
      <c r="G37" s="20" t="s">
        <v>450</v>
      </c>
      <c r="H37" s="19" t="s">
        <v>41</v>
      </c>
      <c r="I37" s="41" t="s">
        <v>451</v>
      </c>
      <c r="J37" s="16">
        <v>32</v>
      </c>
      <c r="K37" s="370"/>
      <c r="L37" s="299">
        <v>1.92</v>
      </c>
      <c r="M37" s="299">
        <v>3.5</v>
      </c>
      <c r="N37" s="153">
        <f t="shared" si="5"/>
        <v>3.92</v>
      </c>
      <c r="O37" s="153">
        <f t="shared" si="6"/>
        <v>3.42</v>
      </c>
      <c r="P37" s="153">
        <f t="shared" si="7"/>
        <v>2.92</v>
      </c>
      <c r="Q37" s="153">
        <f t="shared" si="8"/>
        <v>2.42</v>
      </c>
      <c r="R37" s="345"/>
      <c r="S37" s="37">
        <v>0.22</v>
      </c>
      <c r="T37" s="37">
        <f t="shared" si="9"/>
        <v>7.04</v>
      </c>
      <c r="U37" s="58">
        <v>3923109090</v>
      </c>
      <c r="V37" s="55">
        <v>6.5000000000000002E-2</v>
      </c>
      <c r="W37" s="16" t="s">
        <v>452</v>
      </c>
      <c r="X37" s="16">
        <v>6.45</v>
      </c>
      <c r="Y37" s="16">
        <v>0.06</v>
      </c>
      <c r="Z37" s="60" t="s">
        <v>69</v>
      </c>
    </row>
    <row r="38" spans="1:26" ht="18" customHeight="1">
      <c r="A38" s="15">
        <v>36</v>
      </c>
      <c r="B38" s="23" t="s">
        <v>462</v>
      </c>
      <c r="C38" s="16" t="s">
        <v>80</v>
      </c>
      <c r="D38" s="16" t="s">
        <v>463</v>
      </c>
      <c r="E38" s="22" t="s">
        <v>81</v>
      </c>
      <c r="F38" s="19" t="s">
        <v>41</v>
      </c>
      <c r="G38" s="20" t="s">
        <v>464</v>
      </c>
      <c r="H38" s="19" t="s">
        <v>41</v>
      </c>
      <c r="I38" s="38" t="s">
        <v>465</v>
      </c>
      <c r="J38" s="42">
        <v>204</v>
      </c>
      <c r="K38" s="146">
        <v>23.75</v>
      </c>
      <c r="L38" s="297">
        <v>9.18</v>
      </c>
      <c r="M38" s="297">
        <v>10.76</v>
      </c>
      <c r="N38" s="153">
        <f t="shared" si="5"/>
        <v>11.18</v>
      </c>
      <c r="O38" s="153">
        <f t="shared" si="6"/>
        <v>10.68</v>
      </c>
      <c r="P38" s="153">
        <f t="shared" si="7"/>
        <v>10.18</v>
      </c>
      <c r="Q38" s="153">
        <f t="shared" si="8"/>
        <v>9.68</v>
      </c>
      <c r="R38" s="15">
        <v>1</v>
      </c>
      <c r="S38" s="37">
        <v>0.08</v>
      </c>
      <c r="T38" s="37">
        <f t="shared" si="9"/>
        <v>16.32</v>
      </c>
      <c r="U38" s="58">
        <v>9609909000</v>
      </c>
      <c r="V38" s="55">
        <v>1.7000000000000001E-2</v>
      </c>
      <c r="W38" s="16" t="s">
        <v>466</v>
      </c>
      <c r="X38" s="16">
        <v>7.99</v>
      </c>
      <c r="Y38" s="16">
        <v>4.4999999999999998E-2</v>
      </c>
      <c r="Z38" s="61" t="s">
        <v>84</v>
      </c>
    </row>
    <row r="39" spans="1:26" ht="18" customHeight="1">
      <c r="A39" s="15">
        <v>37</v>
      </c>
      <c r="B39" s="340" t="s">
        <v>85</v>
      </c>
      <c r="C39" s="26" t="s">
        <v>86</v>
      </c>
      <c r="D39" s="16" t="s">
        <v>467</v>
      </c>
      <c r="E39" s="22" t="s">
        <v>87</v>
      </c>
      <c r="F39" s="19" t="s">
        <v>41</v>
      </c>
      <c r="G39" s="27" t="s">
        <v>468</v>
      </c>
      <c r="H39" s="19" t="s">
        <v>41</v>
      </c>
      <c r="I39" s="43" t="s">
        <v>469</v>
      </c>
      <c r="J39" s="25">
        <v>30</v>
      </c>
      <c r="K39" s="371">
        <v>12.5</v>
      </c>
      <c r="L39" s="300">
        <v>6.6</v>
      </c>
      <c r="M39" s="300">
        <v>7.51</v>
      </c>
      <c r="N39" s="153">
        <f t="shared" si="5"/>
        <v>8.6</v>
      </c>
      <c r="O39" s="153">
        <f t="shared" si="6"/>
        <v>8.1</v>
      </c>
      <c r="P39" s="153">
        <f t="shared" si="7"/>
        <v>7.6</v>
      </c>
      <c r="Q39" s="153">
        <f t="shared" si="8"/>
        <v>7.1</v>
      </c>
      <c r="R39" s="339">
        <v>1</v>
      </c>
      <c r="S39" s="37">
        <v>0.8</v>
      </c>
      <c r="T39" s="37">
        <f t="shared" si="9"/>
        <v>24</v>
      </c>
      <c r="U39" s="58">
        <v>3926909790</v>
      </c>
      <c r="V39" s="55">
        <v>6.5000000000000002E-2</v>
      </c>
      <c r="W39" s="62" t="s">
        <v>470</v>
      </c>
      <c r="X39" s="62">
        <v>11.16</v>
      </c>
      <c r="Y39" s="62">
        <v>0.22</v>
      </c>
      <c r="Z39" s="63" t="s">
        <v>90</v>
      </c>
    </row>
    <row r="40" spans="1:26" ht="18" customHeight="1">
      <c r="A40" s="15">
        <v>38</v>
      </c>
      <c r="B40" s="340"/>
      <c r="C40" s="26" t="s">
        <v>91</v>
      </c>
      <c r="D40" s="16" t="s">
        <v>471</v>
      </c>
      <c r="E40" s="22" t="s">
        <v>92</v>
      </c>
      <c r="F40" s="19" t="s">
        <v>41</v>
      </c>
      <c r="G40" s="25" t="s">
        <v>93</v>
      </c>
      <c r="H40" s="19" t="s">
        <v>41</v>
      </c>
      <c r="I40" s="43" t="s">
        <v>472</v>
      </c>
      <c r="J40" s="25">
        <v>30</v>
      </c>
      <c r="K40" s="372"/>
      <c r="L40" s="300">
        <v>19.8</v>
      </c>
      <c r="M40" s="300">
        <v>21.38</v>
      </c>
      <c r="N40" s="153">
        <f t="shared" si="5"/>
        <v>21.8</v>
      </c>
      <c r="O40" s="153">
        <f t="shared" si="6"/>
        <v>21.3</v>
      </c>
      <c r="P40" s="153">
        <f t="shared" si="7"/>
        <v>20.8</v>
      </c>
      <c r="Q40" s="153">
        <f t="shared" si="8"/>
        <v>20.3</v>
      </c>
      <c r="R40" s="339"/>
      <c r="S40" s="37">
        <v>0.8</v>
      </c>
      <c r="T40" s="37">
        <f t="shared" si="9"/>
        <v>24</v>
      </c>
      <c r="U40" s="58">
        <v>9506999000</v>
      </c>
      <c r="V40" s="55">
        <v>2.7E-2</v>
      </c>
      <c r="W40" s="62" t="s">
        <v>473</v>
      </c>
      <c r="X40" s="62">
        <v>14.59</v>
      </c>
      <c r="Y40" s="62">
        <v>0.66</v>
      </c>
      <c r="Z40" s="63" t="s">
        <v>95</v>
      </c>
    </row>
    <row r="41" spans="1:26" ht="18" customHeight="1">
      <c r="A41" s="15">
        <v>39</v>
      </c>
      <c r="B41" s="340" t="s">
        <v>96</v>
      </c>
      <c r="C41" s="26" t="s">
        <v>97</v>
      </c>
      <c r="D41" s="16" t="s">
        <v>474</v>
      </c>
      <c r="E41" s="22" t="s">
        <v>98</v>
      </c>
      <c r="F41" s="19" t="s">
        <v>41</v>
      </c>
      <c r="G41" s="27" t="s">
        <v>475</v>
      </c>
      <c r="H41" s="19" t="s">
        <v>41</v>
      </c>
      <c r="I41" s="44" t="s">
        <v>476</v>
      </c>
      <c r="J41" s="25">
        <v>29</v>
      </c>
      <c r="K41" s="367">
        <v>13.2</v>
      </c>
      <c r="L41" s="301">
        <v>5.22</v>
      </c>
      <c r="M41" s="301">
        <v>6.8</v>
      </c>
      <c r="N41" s="153">
        <f t="shared" si="5"/>
        <v>7.22</v>
      </c>
      <c r="O41" s="153">
        <f t="shared" si="6"/>
        <v>6.72</v>
      </c>
      <c r="P41" s="153">
        <f t="shared" si="7"/>
        <v>6.22</v>
      </c>
      <c r="Q41" s="153">
        <f t="shared" si="8"/>
        <v>5.72</v>
      </c>
      <c r="R41" s="339">
        <v>1</v>
      </c>
      <c r="S41" s="37">
        <v>0.8</v>
      </c>
      <c r="T41" s="37">
        <f t="shared" si="9"/>
        <v>23.200000000000003</v>
      </c>
      <c r="U41" s="58">
        <v>3923309090</v>
      </c>
      <c r="V41" s="55">
        <v>6.5000000000000002E-2</v>
      </c>
      <c r="W41" s="62" t="s">
        <v>477</v>
      </c>
      <c r="X41" s="62">
        <v>10.99</v>
      </c>
      <c r="Y41" s="62">
        <v>0.18</v>
      </c>
      <c r="Z41" s="63" t="s">
        <v>101</v>
      </c>
    </row>
    <row r="42" spans="1:26" ht="18" customHeight="1">
      <c r="A42" s="15">
        <v>40</v>
      </c>
      <c r="B42" s="340"/>
      <c r="C42" s="26" t="s">
        <v>102</v>
      </c>
      <c r="D42" s="16" t="s">
        <v>478</v>
      </c>
      <c r="E42" s="22" t="s">
        <v>103</v>
      </c>
      <c r="F42" s="19" t="s">
        <v>41</v>
      </c>
      <c r="G42" s="27" t="s">
        <v>479</v>
      </c>
      <c r="H42" s="19" t="s">
        <v>41</v>
      </c>
      <c r="I42" s="44" t="s">
        <v>476</v>
      </c>
      <c r="J42" s="25">
        <v>30</v>
      </c>
      <c r="K42" s="368"/>
      <c r="L42" s="302">
        <v>7.5</v>
      </c>
      <c r="M42" s="302">
        <v>9.08</v>
      </c>
      <c r="N42" s="153">
        <f t="shared" si="5"/>
        <v>9.5</v>
      </c>
      <c r="O42" s="153">
        <f t="shared" si="6"/>
        <v>9</v>
      </c>
      <c r="P42" s="153">
        <f t="shared" si="7"/>
        <v>8.5</v>
      </c>
      <c r="Q42" s="153">
        <f t="shared" si="8"/>
        <v>8</v>
      </c>
      <c r="R42" s="339"/>
      <c r="S42" s="37">
        <v>0.8</v>
      </c>
      <c r="T42" s="37">
        <f t="shared" si="9"/>
        <v>24</v>
      </c>
      <c r="U42" s="58">
        <v>7323930090</v>
      </c>
      <c r="V42" s="55">
        <v>3.2000000000000001E-2</v>
      </c>
      <c r="W42" s="62"/>
      <c r="X42" s="155"/>
      <c r="Y42" s="155">
        <v>0.25</v>
      </c>
      <c r="Z42" s="63" t="s">
        <v>105</v>
      </c>
    </row>
    <row r="43" spans="1:26" ht="18" customHeight="1">
      <c r="A43" s="15">
        <v>41</v>
      </c>
      <c r="B43" s="340" t="s">
        <v>106</v>
      </c>
      <c r="C43" s="26" t="s">
        <v>107</v>
      </c>
      <c r="D43" s="16" t="s">
        <v>480</v>
      </c>
      <c r="E43" s="22" t="s">
        <v>108</v>
      </c>
      <c r="F43" s="19" t="s">
        <v>41</v>
      </c>
      <c r="G43" s="25" t="s">
        <v>109</v>
      </c>
      <c r="H43" s="19" t="s">
        <v>41</v>
      </c>
      <c r="I43" s="44" t="s">
        <v>469</v>
      </c>
      <c r="J43" s="25">
        <v>30</v>
      </c>
      <c r="K43" s="367">
        <v>10.45</v>
      </c>
      <c r="L43" s="301">
        <v>2.0100000000000002</v>
      </c>
      <c r="M43" s="301">
        <v>3.59</v>
      </c>
      <c r="N43" s="153">
        <f t="shared" si="5"/>
        <v>4.01</v>
      </c>
      <c r="O43" s="153">
        <f t="shared" si="6"/>
        <v>3.5100000000000002</v>
      </c>
      <c r="P43" s="153">
        <f t="shared" si="7"/>
        <v>3.0100000000000002</v>
      </c>
      <c r="Q43" s="153">
        <f t="shared" si="8"/>
        <v>2.5100000000000002</v>
      </c>
      <c r="R43" s="339">
        <v>1</v>
      </c>
      <c r="S43" s="37">
        <v>0.8</v>
      </c>
      <c r="T43" s="37">
        <f t="shared" si="9"/>
        <v>24</v>
      </c>
      <c r="U43" s="58">
        <v>8214200000</v>
      </c>
      <c r="V43" s="55">
        <v>2.7E-2</v>
      </c>
      <c r="W43" s="62" t="s">
        <v>481</v>
      </c>
      <c r="X43" s="62">
        <v>11.4</v>
      </c>
      <c r="Y43" s="62">
        <v>6.7000000000000004E-2</v>
      </c>
      <c r="Z43" s="63" t="s">
        <v>110</v>
      </c>
    </row>
    <row r="44" spans="1:26" ht="18" customHeight="1">
      <c r="A44" s="15">
        <v>42</v>
      </c>
      <c r="B44" s="340"/>
      <c r="C44" s="26" t="s">
        <v>111</v>
      </c>
      <c r="D44" s="28" t="s">
        <v>482</v>
      </c>
      <c r="E44" s="29" t="s">
        <v>483</v>
      </c>
      <c r="F44" s="19" t="s">
        <v>41</v>
      </c>
      <c r="G44" s="25" t="s">
        <v>93</v>
      </c>
      <c r="H44" s="19" t="s">
        <v>41</v>
      </c>
      <c r="I44" s="44" t="s">
        <v>484</v>
      </c>
      <c r="J44" s="25">
        <v>30</v>
      </c>
      <c r="K44" s="368"/>
      <c r="L44" s="302">
        <v>1.2</v>
      </c>
      <c r="M44" s="302">
        <v>2.78</v>
      </c>
      <c r="N44" s="153">
        <f t="shared" si="5"/>
        <v>3.2</v>
      </c>
      <c r="O44" s="153">
        <f t="shared" si="6"/>
        <v>2.7</v>
      </c>
      <c r="P44" s="153">
        <f t="shared" si="7"/>
        <v>2.2000000000000002</v>
      </c>
      <c r="Q44" s="153">
        <f t="shared" si="8"/>
        <v>1.7</v>
      </c>
      <c r="R44" s="339"/>
      <c r="S44" s="37">
        <v>0.8</v>
      </c>
      <c r="T44" s="37">
        <f t="shared" si="9"/>
        <v>24</v>
      </c>
      <c r="U44" s="58">
        <v>9021109000</v>
      </c>
      <c r="V44" s="55">
        <v>0</v>
      </c>
      <c r="W44" s="62" t="s">
        <v>485</v>
      </c>
      <c r="X44" s="62">
        <v>10.26</v>
      </c>
      <c r="Y44" s="62">
        <v>0.04</v>
      </c>
      <c r="Z44" s="63" t="s">
        <v>114</v>
      </c>
    </row>
    <row r="45" spans="1:26" ht="18" customHeight="1">
      <c r="A45" s="15">
        <v>43</v>
      </c>
      <c r="B45" s="340"/>
      <c r="C45" s="25" t="s">
        <v>115</v>
      </c>
      <c r="D45" s="16" t="s">
        <v>486</v>
      </c>
      <c r="E45" s="22" t="s">
        <v>116</v>
      </c>
      <c r="F45" s="19" t="s">
        <v>41</v>
      </c>
      <c r="G45" s="27" t="s">
        <v>487</v>
      </c>
      <c r="H45" s="19" t="s">
        <v>41</v>
      </c>
      <c r="I45" s="44" t="s">
        <v>484</v>
      </c>
      <c r="J45" s="25">
        <v>30</v>
      </c>
      <c r="K45" s="368"/>
      <c r="L45" s="302">
        <v>2.5799999999999996</v>
      </c>
      <c r="M45" s="302">
        <v>4.16</v>
      </c>
      <c r="N45" s="153">
        <f t="shared" si="5"/>
        <v>4.58</v>
      </c>
      <c r="O45" s="153">
        <f t="shared" si="6"/>
        <v>4.08</v>
      </c>
      <c r="P45" s="153">
        <f t="shared" si="7"/>
        <v>3.5799999999999996</v>
      </c>
      <c r="Q45" s="153">
        <f t="shared" si="8"/>
        <v>3.0799999999999996</v>
      </c>
      <c r="R45" s="339"/>
      <c r="S45" s="37">
        <v>0.8</v>
      </c>
      <c r="T45" s="37">
        <f t="shared" si="9"/>
        <v>24</v>
      </c>
      <c r="U45" s="58">
        <v>9506919000</v>
      </c>
      <c r="V45" s="55">
        <v>2.7E-2</v>
      </c>
      <c r="W45" s="62" t="s">
        <v>488</v>
      </c>
      <c r="X45" s="62">
        <v>11.99</v>
      </c>
      <c r="Y45" s="62">
        <v>8.5999999999999993E-2</v>
      </c>
      <c r="Z45" s="63" t="s">
        <v>118</v>
      </c>
    </row>
    <row r="46" spans="1:26" ht="18" customHeight="1">
      <c r="A46" s="15">
        <v>44</v>
      </c>
      <c r="B46" s="340" t="s">
        <v>119</v>
      </c>
      <c r="C46" s="25" t="s">
        <v>120</v>
      </c>
      <c r="D46" s="30" t="s">
        <v>489</v>
      </c>
      <c r="E46" s="22" t="s">
        <v>121</v>
      </c>
      <c r="F46" s="19" t="s">
        <v>41</v>
      </c>
      <c r="G46" s="27" t="s">
        <v>490</v>
      </c>
      <c r="H46" s="19" t="s">
        <v>41</v>
      </c>
      <c r="I46" s="44" t="s">
        <v>484</v>
      </c>
      <c r="J46" s="25">
        <v>27</v>
      </c>
      <c r="K46" s="367">
        <v>16.7</v>
      </c>
      <c r="L46" s="301">
        <v>0.54</v>
      </c>
      <c r="M46" s="301">
        <v>2.12</v>
      </c>
      <c r="N46" s="153">
        <f t="shared" si="5"/>
        <v>2.54</v>
      </c>
      <c r="O46" s="153">
        <f t="shared" si="6"/>
        <v>2.04</v>
      </c>
      <c r="P46" s="153">
        <f t="shared" si="7"/>
        <v>1.54</v>
      </c>
      <c r="Q46" s="153">
        <f t="shared" si="8"/>
        <v>1.04</v>
      </c>
      <c r="R46" s="339">
        <v>1</v>
      </c>
      <c r="S46" s="37">
        <v>0.8</v>
      </c>
      <c r="T46" s="37">
        <f t="shared" si="9"/>
        <v>21.6</v>
      </c>
      <c r="U46" s="58" t="s">
        <v>491</v>
      </c>
      <c r="V46" s="55">
        <v>2.7E-2</v>
      </c>
      <c r="W46" s="62" t="s">
        <v>492</v>
      </c>
      <c r="X46" s="62"/>
      <c r="Y46" s="62">
        <v>0.02</v>
      </c>
      <c r="Z46" s="63" t="s">
        <v>123</v>
      </c>
    </row>
    <row r="47" spans="1:26" ht="18" customHeight="1">
      <c r="A47" s="15">
        <v>45</v>
      </c>
      <c r="B47" s="340"/>
      <c r="C47" s="26" t="s">
        <v>124</v>
      </c>
      <c r="D47" s="16" t="s">
        <v>493</v>
      </c>
      <c r="E47" s="22" t="s">
        <v>125</v>
      </c>
      <c r="F47" s="19" t="s">
        <v>41</v>
      </c>
      <c r="G47" s="27" t="s">
        <v>494</v>
      </c>
      <c r="H47" s="19" t="s">
        <v>41</v>
      </c>
      <c r="I47" s="44" t="s">
        <v>484</v>
      </c>
      <c r="J47" s="25">
        <v>20</v>
      </c>
      <c r="K47" s="368"/>
      <c r="L47" s="302">
        <v>10.8</v>
      </c>
      <c r="M47" s="302">
        <v>12.38</v>
      </c>
      <c r="N47" s="153">
        <f t="shared" si="5"/>
        <v>12.8</v>
      </c>
      <c r="O47" s="153">
        <f t="shared" si="6"/>
        <v>12.3</v>
      </c>
      <c r="P47" s="153">
        <f t="shared" si="7"/>
        <v>11.8</v>
      </c>
      <c r="Q47" s="153">
        <f t="shared" si="8"/>
        <v>11.3</v>
      </c>
      <c r="R47" s="339"/>
      <c r="S47" s="37">
        <v>0.8</v>
      </c>
      <c r="T47" s="37">
        <f t="shared" si="9"/>
        <v>16</v>
      </c>
      <c r="U47" s="58">
        <v>6304990099</v>
      </c>
      <c r="V47" s="55">
        <v>0.12</v>
      </c>
      <c r="W47" s="54" t="s">
        <v>495</v>
      </c>
      <c r="X47" s="54">
        <v>14.98</v>
      </c>
      <c r="Y47" s="54">
        <v>0.54</v>
      </c>
      <c r="Z47" s="64" t="s">
        <v>127</v>
      </c>
    </row>
    <row r="48" spans="1:26" ht="18" customHeight="1">
      <c r="A48" s="15">
        <v>46</v>
      </c>
      <c r="B48" s="340"/>
      <c r="C48" s="26" t="s">
        <v>128</v>
      </c>
      <c r="D48" s="17" t="s">
        <v>426</v>
      </c>
      <c r="E48" s="22" t="s">
        <v>40</v>
      </c>
      <c r="F48" s="19" t="s">
        <v>41</v>
      </c>
      <c r="G48" s="27" t="s">
        <v>487</v>
      </c>
      <c r="H48" s="19" t="s">
        <v>41</v>
      </c>
      <c r="I48" s="44" t="s">
        <v>496</v>
      </c>
      <c r="J48" s="25">
        <v>30</v>
      </c>
      <c r="K48" s="368"/>
      <c r="L48" s="302">
        <v>16.200000000000003</v>
      </c>
      <c r="M48" s="302">
        <v>17.78</v>
      </c>
      <c r="N48" s="153">
        <f t="shared" si="5"/>
        <v>18.200000000000003</v>
      </c>
      <c r="O48" s="153">
        <f t="shared" si="6"/>
        <v>17.700000000000003</v>
      </c>
      <c r="P48" s="153">
        <f t="shared" si="7"/>
        <v>17.200000000000003</v>
      </c>
      <c r="Q48" s="153">
        <f t="shared" si="8"/>
        <v>16.700000000000003</v>
      </c>
      <c r="R48" s="339"/>
      <c r="S48" s="37">
        <v>0.55000000000000004</v>
      </c>
      <c r="T48" s="37">
        <f t="shared" si="9"/>
        <v>16.5</v>
      </c>
      <c r="U48" s="58">
        <v>6207999099</v>
      </c>
      <c r="V48" s="55">
        <v>0.12</v>
      </c>
      <c r="W48" s="62" t="s">
        <v>497</v>
      </c>
      <c r="X48" s="62"/>
      <c r="Y48" s="62">
        <v>0.54</v>
      </c>
      <c r="Z48" s="63" t="s">
        <v>131</v>
      </c>
    </row>
    <row r="49" spans="1:26" ht="18" customHeight="1">
      <c r="A49" s="15">
        <v>47</v>
      </c>
      <c r="B49" s="340" t="s">
        <v>132</v>
      </c>
      <c r="C49" s="26" t="s">
        <v>133</v>
      </c>
      <c r="D49" s="16" t="s">
        <v>498</v>
      </c>
      <c r="E49" s="22" t="s">
        <v>134</v>
      </c>
      <c r="F49" s="19" t="s">
        <v>41</v>
      </c>
      <c r="G49" s="27" t="s">
        <v>499</v>
      </c>
      <c r="H49" s="19" t="s">
        <v>41</v>
      </c>
      <c r="I49" s="44" t="s">
        <v>469</v>
      </c>
      <c r="J49" s="25">
        <v>30</v>
      </c>
      <c r="K49" s="367">
        <v>16.55</v>
      </c>
      <c r="L49" s="301">
        <v>8.4</v>
      </c>
      <c r="M49" s="301">
        <v>9.98</v>
      </c>
      <c r="N49" s="153">
        <f t="shared" si="5"/>
        <v>10.4</v>
      </c>
      <c r="O49" s="153">
        <f t="shared" si="6"/>
        <v>9.9</v>
      </c>
      <c r="P49" s="153">
        <f t="shared" si="7"/>
        <v>9.4</v>
      </c>
      <c r="Q49" s="153">
        <f t="shared" si="8"/>
        <v>8.9</v>
      </c>
      <c r="R49" s="339">
        <v>1</v>
      </c>
      <c r="S49" s="37">
        <v>0.8</v>
      </c>
      <c r="T49" s="37">
        <f t="shared" si="9"/>
        <v>24</v>
      </c>
      <c r="U49" s="58">
        <v>7319909000</v>
      </c>
      <c r="V49" s="55">
        <v>2.7E-2</v>
      </c>
      <c r="W49" s="62" t="s">
        <v>500</v>
      </c>
      <c r="X49" s="62"/>
      <c r="Y49" s="62">
        <v>0.28000000000000003</v>
      </c>
      <c r="Z49" s="63" t="s">
        <v>136</v>
      </c>
    </row>
    <row r="50" spans="1:26" ht="18" customHeight="1">
      <c r="A50" s="15">
        <v>48</v>
      </c>
      <c r="B50" s="340"/>
      <c r="C50" s="26" t="s">
        <v>124</v>
      </c>
      <c r="D50" s="16" t="s">
        <v>493</v>
      </c>
      <c r="E50" s="22" t="s">
        <v>125</v>
      </c>
      <c r="F50" s="19" t="s">
        <v>41</v>
      </c>
      <c r="G50" s="27" t="s">
        <v>494</v>
      </c>
      <c r="H50" s="19" t="s">
        <v>41</v>
      </c>
      <c r="I50" s="44" t="s">
        <v>484</v>
      </c>
      <c r="J50" s="25">
        <v>10</v>
      </c>
      <c r="K50" s="368"/>
      <c r="L50" s="302">
        <v>5.4</v>
      </c>
      <c r="M50" s="302">
        <v>6.98</v>
      </c>
      <c r="N50" s="153">
        <f t="shared" si="5"/>
        <v>7.4</v>
      </c>
      <c r="O50" s="153">
        <f t="shared" si="6"/>
        <v>6.9</v>
      </c>
      <c r="P50" s="153">
        <f t="shared" si="7"/>
        <v>6.4</v>
      </c>
      <c r="Q50" s="153">
        <f t="shared" si="8"/>
        <v>5.9</v>
      </c>
      <c r="R50" s="339"/>
      <c r="S50" s="37">
        <v>0.8</v>
      </c>
      <c r="T50" s="37">
        <f t="shared" si="9"/>
        <v>8</v>
      </c>
      <c r="U50" s="58">
        <v>6304990099</v>
      </c>
      <c r="V50" s="55">
        <v>0.12</v>
      </c>
      <c r="W50" s="54" t="s">
        <v>495</v>
      </c>
      <c r="X50" s="54">
        <v>14.98</v>
      </c>
      <c r="Y50" s="54">
        <v>0.54</v>
      </c>
      <c r="Z50" s="25" t="s">
        <v>127</v>
      </c>
    </row>
    <row r="51" spans="1:26" ht="18" customHeight="1">
      <c r="A51" s="15">
        <v>49</v>
      </c>
      <c r="B51" s="340"/>
      <c r="C51" s="26" t="s">
        <v>137</v>
      </c>
      <c r="D51" s="28" t="s">
        <v>482</v>
      </c>
      <c r="E51" s="29" t="s">
        <v>483</v>
      </c>
      <c r="F51" s="19" t="s">
        <v>41</v>
      </c>
      <c r="G51" s="27" t="s">
        <v>501</v>
      </c>
      <c r="H51" s="19" t="s">
        <v>41</v>
      </c>
      <c r="I51" s="44" t="s">
        <v>484</v>
      </c>
      <c r="J51" s="25">
        <v>26</v>
      </c>
      <c r="K51" s="368"/>
      <c r="L51" s="302">
        <v>2.6</v>
      </c>
      <c r="M51" s="302">
        <v>4.18</v>
      </c>
      <c r="N51" s="153">
        <f t="shared" si="5"/>
        <v>4.5999999999999996</v>
      </c>
      <c r="O51" s="153">
        <f t="shared" si="6"/>
        <v>4.0999999999999996</v>
      </c>
      <c r="P51" s="153">
        <f t="shared" si="7"/>
        <v>3.6</v>
      </c>
      <c r="Q51" s="153">
        <f t="shared" si="8"/>
        <v>3.1</v>
      </c>
      <c r="R51" s="339"/>
      <c r="S51" s="37">
        <v>0.8</v>
      </c>
      <c r="T51" s="37">
        <f t="shared" si="9"/>
        <v>20.8</v>
      </c>
      <c r="U51" s="58">
        <v>9021109000</v>
      </c>
      <c r="V51" s="55">
        <v>0</v>
      </c>
      <c r="W51" s="62" t="s">
        <v>502</v>
      </c>
      <c r="X51" s="62">
        <v>11.99</v>
      </c>
      <c r="Y51" s="62">
        <v>0.1</v>
      </c>
      <c r="Z51" s="63" t="s">
        <v>140</v>
      </c>
    </row>
    <row r="52" spans="1:26" ht="18" customHeight="1">
      <c r="A52" s="15">
        <v>50</v>
      </c>
      <c r="B52" s="25" t="s">
        <v>141</v>
      </c>
      <c r="C52" s="26" t="s">
        <v>128</v>
      </c>
      <c r="D52" s="17" t="s">
        <v>426</v>
      </c>
      <c r="E52" s="22" t="s">
        <v>40</v>
      </c>
      <c r="F52" s="19" t="s">
        <v>41</v>
      </c>
      <c r="G52" s="27" t="s">
        <v>487</v>
      </c>
      <c r="H52" s="19" t="s">
        <v>41</v>
      </c>
      <c r="I52" s="44" t="s">
        <v>496</v>
      </c>
      <c r="J52" s="25">
        <v>30</v>
      </c>
      <c r="K52" s="154">
        <v>19.75</v>
      </c>
      <c r="L52" s="303">
        <v>6</v>
      </c>
      <c r="M52" s="303">
        <v>7.58</v>
      </c>
      <c r="N52" s="153">
        <f t="shared" si="5"/>
        <v>8</v>
      </c>
      <c r="O52" s="153">
        <f t="shared" si="6"/>
        <v>7.5</v>
      </c>
      <c r="P52" s="153">
        <f t="shared" si="7"/>
        <v>7</v>
      </c>
      <c r="Q52" s="153">
        <f t="shared" si="8"/>
        <v>6.5</v>
      </c>
      <c r="R52" s="26">
        <v>1</v>
      </c>
      <c r="S52" s="37">
        <v>0.55000000000000004</v>
      </c>
      <c r="T52" s="37">
        <f t="shared" si="9"/>
        <v>16.5</v>
      </c>
      <c r="U52" s="58">
        <v>6207999099</v>
      </c>
      <c r="V52" s="55">
        <v>0.12</v>
      </c>
      <c r="W52" s="62" t="s">
        <v>503</v>
      </c>
      <c r="X52" s="62"/>
      <c r="Y52" s="62">
        <v>0.2</v>
      </c>
      <c r="Z52" s="63" t="s">
        <v>142</v>
      </c>
    </row>
    <row r="53" spans="1:26" ht="18" customHeight="1">
      <c r="A53" s="15">
        <v>51</v>
      </c>
      <c r="B53" s="340" t="s">
        <v>143</v>
      </c>
      <c r="C53" s="26" t="s">
        <v>144</v>
      </c>
      <c r="D53" s="16" t="s">
        <v>504</v>
      </c>
      <c r="E53" s="22" t="s">
        <v>145</v>
      </c>
      <c r="F53" s="19" t="s">
        <v>41</v>
      </c>
      <c r="G53" s="27" t="s">
        <v>499</v>
      </c>
      <c r="H53" s="19" t="s">
        <v>41</v>
      </c>
      <c r="I53" s="44" t="s">
        <v>476</v>
      </c>
      <c r="J53" s="25">
        <v>30</v>
      </c>
      <c r="K53" s="367">
        <v>13.85</v>
      </c>
      <c r="L53" s="301">
        <v>7.5</v>
      </c>
      <c r="M53" s="301">
        <v>9.08</v>
      </c>
      <c r="N53" s="153">
        <f t="shared" si="5"/>
        <v>9.5</v>
      </c>
      <c r="O53" s="153">
        <f t="shared" si="6"/>
        <v>9</v>
      </c>
      <c r="P53" s="153">
        <f t="shared" si="7"/>
        <v>8.5</v>
      </c>
      <c r="Q53" s="153">
        <f t="shared" si="8"/>
        <v>8</v>
      </c>
      <c r="R53" s="339">
        <v>1</v>
      </c>
      <c r="S53" s="37">
        <v>0.8</v>
      </c>
      <c r="T53" s="37">
        <f t="shared" si="9"/>
        <v>24</v>
      </c>
      <c r="U53" s="58">
        <v>7323930090</v>
      </c>
      <c r="V53" s="55">
        <v>3.2000000000000001E-2</v>
      </c>
      <c r="W53" s="62"/>
      <c r="X53" s="155"/>
      <c r="Y53" s="155">
        <v>0.25</v>
      </c>
      <c r="Z53" s="63" t="s">
        <v>146</v>
      </c>
    </row>
    <row r="54" spans="1:26" ht="18" customHeight="1">
      <c r="A54" s="15">
        <v>52</v>
      </c>
      <c r="B54" s="340"/>
      <c r="C54" s="26" t="s">
        <v>147</v>
      </c>
      <c r="D54" s="16" t="s">
        <v>505</v>
      </c>
      <c r="E54" s="22" t="s">
        <v>148</v>
      </c>
      <c r="F54" s="19" t="s">
        <v>41</v>
      </c>
      <c r="G54" s="27" t="s">
        <v>506</v>
      </c>
      <c r="H54" s="19" t="s">
        <v>41</v>
      </c>
      <c r="I54" s="44" t="s">
        <v>472</v>
      </c>
      <c r="J54" s="25">
        <v>27</v>
      </c>
      <c r="K54" s="368"/>
      <c r="L54" s="302">
        <v>1.08</v>
      </c>
      <c r="M54" s="302">
        <v>2.66</v>
      </c>
      <c r="N54" s="153">
        <f t="shared" si="5"/>
        <v>3.08</v>
      </c>
      <c r="O54" s="153">
        <f t="shared" si="6"/>
        <v>2.58</v>
      </c>
      <c r="P54" s="153">
        <f t="shared" si="7"/>
        <v>2.08</v>
      </c>
      <c r="Q54" s="153">
        <f t="shared" si="8"/>
        <v>1.58</v>
      </c>
      <c r="R54" s="339"/>
      <c r="S54" s="37">
        <v>0.8</v>
      </c>
      <c r="T54" s="37">
        <f t="shared" si="9"/>
        <v>21.6</v>
      </c>
      <c r="U54" s="58">
        <v>5908000000</v>
      </c>
      <c r="V54" s="55">
        <v>5.6000000000000001E-2</v>
      </c>
      <c r="W54" s="62" t="s">
        <v>507</v>
      </c>
      <c r="X54" s="62">
        <v>8.99</v>
      </c>
      <c r="Y54" s="62">
        <v>0.04</v>
      </c>
      <c r="Z54" s="63" t="s">
        <v>150</v>
      </c>
    </row>
    <row r="55" spans="1:26" ht="18" customHeight="1">
      <c r="A55" s="15">
        <v>53</v>
      </c>
      <c r="B55" s="340"/>
      <c r="C55" s="26" t="s">
        <v>151</v>
      </c>
      <c r="D55" s="16" t="s">
        <v>508</v>
      </c>
      <c r="E55" s="22" t="s">
        <v>152</v>
      </c>
      <c r="F55" s="19" t="s">
        <v>41</v>
      </c>
      <c r="G55" s="27" t="s">
        <v>487</v>
      </c>
      <c r="H55" s="19" t="s">
        <v>41</v>
      </c>
      <c r="I55" s="44" t="s">
        <v>484</v>
      </c>
      <c r="J55" s="25">
        <v>30</v>
      </c>
      <c r="K55" s="368"/>
      <c r="L55" s="302">
        <v>4.5</v>
      </c>
      <c r="M55" s="302">
        <v>6.08</v>
      </c>
      <c r="N55" s="153">
        <f t="shared" si="5"/>
        <v>6.5</v>
      </c>
      <c r="O55" s="153">
        <f t="shared" si="6"/>
        <v>6</v>
      </c>
      <c r="P55" s="153">
        <f t="shared" si="7"/>
        <v>5.5</v>
      </c>
      <c r="Q55" s="153">
        <f t="shared" si="8"/>
        <v>5</v>
      </c>
      <c r="R55" s="339"/>
      <c r="S55" s="37">
        <v>0.8</v>
      </c>
      <c r="T55" s="37">
        <f t="shared" si="9"/>
        <v>24</v>
      </c>
      <c r="U55" s="58">
        <v>9021109000</v>
      </c>
      <c r="V55" s="55">
        <v>0</v>
      </c>
      <c r="W55" s="62" t="s">
        <v>509</v>
      </c>
      <c r="X55" s="62">
        <v>13.66</v>
      </c>
      <c r="Y55" s="62">
        <v>0.15</v>
      </c>
      <c r="Z55" s="63" t="s">
        <v>153</v>
      </c>
    </row>
    <row r="56" spans="1:26" ht="18" customHeight="1">
      <c r="A56" s="15">
        <v>54</v>
      </c>
      <c r="B56" s="25" t="s">
        <v>154</v>
      </c>
      <c r="C56" s="26" t="s">
        <v>155</v>
      </c>
      <c r="D56" s="17" t="s">
        <v>426</v>
      </c>
      <c r="E56" s="22" t="s">
        <v>40</v>
      </c>
      <c r="F56" s="19" t="s">
        <v>41</v>
      </c>
      <c r="G56" s="27" t="s">
        <v>487</v>
      </c>
      <c r="H56" s="19" t="s">
        <v>41</v>
      </c>
      <c r="I56" s="44" t="s">
        <v>484</v>
      </c>
      <c r="J56" s="25">
        <v>30</v>
      </c>
      <c r="K56" s="154">
        <v>13.85</v>
      </c>
      <c r="L56" s="303">
        <v>6</v>
      </c>
      <c r="M56" s="303">
        <v>7.58</v>
      </c>
      <c r="N56" s="153">
        <f t="shared" si="5"/>
        <v>8</v>
      </c>
      <c r="O56" s="153">
        <f t="shared" si="6"/>
        <v>7.5</v>
      </c>
      <c r="P56" s="153">
        <f t="shared" si="7"/>
        <v>7</v>
      </c>
      <c r="Q56" s="153">
        <f t="shared" si="8"/>
        <v>6.5</v>
      </c>
      <c r="R56" s="26">
        <v>1</v>
      </c>
      <c r="S56" s="37">
        <v>0.55000000000000004</v>
      </c>
      <c r="T56" s="37">
        <f t="shared" si="9"/>
        <v>16.5</v>
      </c>
      <c r="U56" s="58">
        <v>6207999099</v>
      </c>
      <c r="V56" s="55">
        <v>0.12</v>
      </c>
      <c r="W56" s="62" t="s">
        <v>510</v>
      </c>
      <c r="X56" s="62">
        <v>10.19</v>
      </c>
      <c r="Y56" s="62">
        <v>0.2</v>
      </c>
      <c r="Z56" s="63" t="s">
        <v>157</v>
      </c>
    </row>
    <row r="57" spans="1:26" ht="18" customHeight="1">
      <c r="A57" s="15">
        <v>55</v>
      </c>
      <c r="B57" s="340" t="s">
        <v>158</v>
      </c>
      <c r="C57" s="26" t="s">
        <v>159</v>
      </c>
      <c r="D57" s="16" t="s">
        <v>511</v>
      </c>
      <c r="E57" s="22" t="s">
        <v>164</v>
      </c>
      <c r="F57" s="19" t="s">
        <v>41</v>
      </c>
      <c r="G57" s="27" t="s">
        <v>487</v>
      </c>
      <c r="H57" s="19" t="s">
        <v>41</v>
      </c>
      <c r="I57" s="44" t="s">
        <v>484</v>
      </c>
      <c r="J57" s="25">
        <v>30</v>
      </c>
      <c r="K57" s="367">
        <v>14</v>
      </c>
      <c r="L57" s="301">
        <v>0.96</v>
      </c>
      <c r="M57" s="301">
        <v>2.54</v>
      </c>
      <c r="N57" s="153">
        <f t="shared" si="5"/>
        <v>2.96</v>
      </c>
      <c r="O57" s="153">
        <f t="shared" si="6"/>
        <v>2.46</v>
      </c>
      <c r="P57" s="153">
        <f t="shared" si="7"/>
        <v>1.96</v>
      </c>
      <c r="Q57" s="153">
        <f t="shared" si="8"/>
        <v>1.46</v>
      </c>
      <c r="R57" s="339">
        <v>1</v>
      </c>
      <c r="S57" s="37">
        <v>0.8</v>
      </c>
      <c r="T57" s="37">
        <f t="shared" si="9"/>
        <v>24</v>
      </c>
      <c r="U57" s="58">
        <v>9506919000</v>
      </c>
      <c r="V57" s="55">
        <v>2.7E-2</v>
      </c>
      <c r="W57" s="62" t="s">
        <v>512</v>
      </c>
      <c r="X57" s="62">
        <v>8.8800000000000008</v>
      </c>
      <c r="Y57" s="62">
        <v>3.2000000000000001E-2</v>
      </c>
      <c r="Z57" s="63" t="s">
        <v>161</v>
      </c>
    </row>
    <row r="58" spans="1:26" ht="18" customHeight="1">
      <c r="A58" s="15">
        <v>56</v>
      </c>
      <c r="B58" s="340"/>
      <c r="C58" s="26" t="s">
        <v>91</v>
      </c>
      <c r="D58" s="16" t="s">
        <v>471</v>
      </c>
      <c r="E58" s="22" t="s">
        <v>92</v>
      </c>
      <c r="F58" s="19" t="s">
        <v>41</v>
      </c>
      <c r="G58" s="25" t="s">
        <v>93</v>
      </c>
      <c r="H58" s="19" t="s">
        <v>41</v>
      </c>
      <c r="I58" s="44" t="s">
        <v>472</v>
      </c>
      <c r="J58" s="25">
        <v>29</v>
      </c>
      <c r="K58" s="368"/>
      <c r="L58" s="302">
        <v>19.14</v>
      </c>
      <c r="M58" s="302">
        <v>20.72</v>
      </c>
      <c r="N58" s="153">
        <f t="shared" si="5"/>
        <v>21.14</v>
      </c>
      <c r="O58" s="153">
        <f t="shared" si="6"/>
        <v>20.64</v>
      </c>
      <c r="P58" s="153">
        <f t="shared" si="7"/>
        <v>20.14</v>
      </c>
      <c r="Q58" s="153">
        <f t="shared" si="8"/>
        <v>19.64</v>
      </c>
      <c r="R58" s="339"/>
      <c r="S58" s="37">
        <v>0.8</v>
      </c>
      <c r="T58" s="37">
        <f t="shared" si="9"/>
        <v>23.200000000000003</v>
      </c>
      <c r="U58" s="58">
        <v>9506999000</v>
      </c>
      <c r="V58" s="55">
        <v>2.7E-2</v>
      </c>
      <c r="W58" s="62" t="s">
        <v>473</v>
      </c>
      <c r="X58" s="62">
        <v>14.59</v>
      </c>
      <c r="Y58" s="62">
        <v>0.66</v>
      </c>
      <c r="Z58" s="25" t="s">
        <v>162</v>
      </c>
    </row>
    <row r="59" spans="1:26" ht="18" customHeight="1">
      <c r="A59" s="15">
        <v>57</v>
      </c>
      <c r="B59" s="340"/>
      <c r="C59" s="26" t="s">
        <v>163</v>
      </c>
      <c r="D59" s="16" t="s">
        <v>513</v>
      </c>
      <c r="E59" s="22" t="s">
        <v>514</v>
      </c>
      <c r="F59" s="19" t="s">
        <v>41</v>
      </c>
      <c r="G59" s="27" t="s">
        <v>515</v>
      </c>
      <c r="H59" s="19" t="s">
        <v>41</v>
      </c>
      <c r="I59" s="44" t="s">
        <v>484</v>
      </c>
      <c r="J59" s="25">
        <v>30</v>
      </c>
      <c r="K59" s="368"/>
      <c r="L59" s="302">
        <v>2.46</v>
      </c>
      <c r="M59" s="302">
        <v>4.04</v>
      </c>
      <c r="N59" s="153">
        <f t="shared" si="5"/>
        <v>4.46</v>
      </c>
      <c r="O59" s="153">
        <f t="shared" si="6"/>
        <v>3.96</v>
      </c>
      <c r="P59" s="153">
        <f t="shared" si="7"/>
        <v>3.46</v>
      </c>
      <c r="Q59" s="153">
        <f t="shared" si="8"/>
        <v>2.96</v>
      </c>
      <c r="R59" s="339"/>
      <c r="S59" s="37">
        <v>0.8</v>
      </c>
      <c r="T59" s="37">
        <f t="shared" si="9"/>
        <v>24</v>
      </c>
      <c r="U59" s="58">
        <v>9506919000</v>
      </c>
      <c r="V59" s="55">
        <v>2.7E-2</v>
      </c>
      <c r="W59" s="62" t="s">
        <v>516</v>
      </c>
      <c r="X59" s="62">
        <v>6.99</v>
      </c>
      <c r="Y59" s="62">
        <v>8.2000000000000003E-2</v>
      </c>
      <c r="Z59" s="63" t="s">
        <v>166</v>
      </c>
    </row>
    <row r="60" spans="1:26" ht="18" customHeight="1">
      <c r="A60" s="15">
        <v>58</v>
      </c>
      <c r="B60" s="25" t="s">
        <v>167</v>
      </c>
      <c r="C60" s="26" t="s">
        <v>124</v>
      </c>
      <c r="D60" s="16" t="s">
        <v>493</v>
      </c>
      <c r="E60" s="22" t="s">
        <v>125</v>
      </c>
      <c r="F60" s="19" t="s">
        <v>41</v>
      </c>
      <c r="G60" s="27" t="s">
        <v>517</v>
      </c>
      <c r="H60" s="19" t="s">
        <v>41</v>
      </c>
      <c r="I60" s="44" t="s">
        <v>484</v>
      </c>
      <c r="J60" s="25">
        <v>15</v>
      </c>
      <c r="K60" s="154">
        <v>14.35</v>
      </c>
      <c r="L60" s="303">
        <v>8.1000000000000014</v>
      </c>
      <c r="M60" s="303">
        <v>9.68</v>
      </c>
      <c r="N60" s="153">
        <f t="shared" si="5"/>
        <v>10.100000000000001</v>
      </c>
      <c r="O60" s="153">
        <f t="shared" si="6"/>
        <v>9.6000000000000014</v>
      </c>
      <c r="P60" s="153">
        <f t="shared" si="7"/>
        <v>9.1000000000000014</v>
      </c>
      <c r="Q60" s="153">
        <f t="shared" si="8"/>
        <v>8.6000000000000014</v>
      </c>
      <c r="R60" s="26">
        <v>1</v>
      </c>
      <c r="S60" s="37">
        <v>0.8</v>
      </c>
      <c r="T60" s="37">
        <f t="shared" si="9"/>
        <v>12</v>
      </c>
      <c r="U60" s="58">
        <v>6304990099</v>
      </c>
      <c r="V60" s="55">
        <v>0.12</v>
      </c>
      <c r="W60" s="54" t="s">
        <v>495</v>
      </c>
      <c r="X60" s="54">
        <v>14.98</v>
      </c>
      <c r="Y60" s="54">
        <v>0.54</v>
      </c>
      <c r="Z60" s="25" t="s">
        <v>127</v>
      </c>
    </row>
    <row r="61" spans="1:26" ht="18" customHeight="1">
      <c r="A61" s="15">
        <v>59</v>
      </c>
      <c r="B61" s="25" t="s">
        <v>169</v>
      </c>
      <c r="C61" s="26" t="s">
        <v>124</v>
      </c>
      <c r="D61" s="16" t="s">
        <v>493</v>
      </c>
      <c r="E61" s="22" t="s">
        <v>125</v>
      </c>
      <c r="F61" s="19" t="s">
        <v>41</v>
      </c>
      <c r="G61" s="27" t="s">
        <v>517</v>
      </c>
      <c r="H61" s="19" t="s">
        <v>41</v>
      </c>
      <c r="I61" s="44" t="s">
        <v>484</v>
      </c>
      <c r="J61" s="25">
        <v>15</v>
      </c>
      <c r="K61" s="154">
        <v>14.25</v>
      </c>
      <c r="L61" s="303">
        <v>8.1000000000000014</v>
      </c>
      <c r="M61" s="303">
        <v>9.68</v>
      </c>
      <c r="N61" s="153">
        <f t="shared" si="5"/>
        <v>10.100000000000001</v>
      </c>
      <c r="O61" s="153">
        <f t="shared" si="6"/>
        <v>9.6000000000000014</v>
      </c>
      <c r="P61" s="153">
        <f t="shared" si="7"/>
        <v>9.1000000000000014</v>
      </c>
      <c r="Q61" s="153">
        <f t="shared" si="8"/>
        <v>8.6000000000000014</v>
      </c>
      <c r="R61" s="26">
        <v>1</v>
      </c>
      <c r="S61" s="37">
        <v>0.8</v>
      </c>
      <c r="T61" s="37">
        <f t="shared" si="9"/>
        <v>12</v>
      </c>
      <c r="U61" s="58">
        <v>6304990099</v>
      </c>
      <c r="V61" s="55">
        <v>0.12</v>
      </c>
      <c r="W61" s="54" t="s">
        <v>495</v>
      </c>
      <c r="X61" s="54">
        <v>14.98</v>
      </c>
      <c r="Y61" s="54">
        <v>0.54</v>
      </c>
      <c r="Z61" s="25" t="s">
        <v>127</v>
      </c>
    </row>
    <row r="62" spans="1:26" ht="18" customHeight="1">
      <c r="A62" s="15">
        <v>60</v>
      </c>
      <c r="B62" s="25" t="s">
        <v>170</v>
      </c>
      <c r="C62" s="26" t="s">
        <v>124</v>
      </c>
      <c r="D62" s="16" t="s">
        <v>493</v>
      </c>
      <c r="E62" s="18" t="s">
        <v>125</v>
      </c>
      <c r="F62" s="19" t="s">
        <v>41</v>
      </c>
      <c r="G62" s="27" t="s">
        <v>518</v>
      </c>
      <c r="H62" s="19" t="s">
        <v>41</v>
      </c>
      <c r="I62" s="44" t="s">
        <v>484</v>
      </c>
      <c r="J62" s="25">
        <v>22</v>
      </c>
      <c r="K62" s="154">
        <v>17.649999999999999</v>
      </c>
      <c r="L62" s="303">
        <v>11.88</v>
      </c>
      <c r="M62" s="303">
        <v>13.46</v>
      </c>
      <c r="N62" s="153">
        <f t="shared" si="5"/>
        <v>13.88</v>
      </c>
      <c r="O62" s="153">
        <f t="shared" si="6"/>
        <v>13.38</v>
      </c>
      <c r="P62" s="153">
        <f t="shared" si="7"/>
        <v>12.88</v>
      </c>
      <c r="Q62" s="153">
        <f t="shared" si="8"/>
        <v>12.38</v>
      </c>
      <c r="R62" s="26">
        <v>1</v>
      </c>
      <c r="S62" s="37">
        <v>0.8</v>
      </c>
      <c r="T62" s="37">
        <f t="shared" si="9"/>
        <v>17.600000000000001</v>
      </c>
      <c r="U62" s="58">
        <v>6304990099</v>
      </c>
      <c r="V62" s="55">
        <v>0.12</v>
      </c>
      <c r="W62" s="54" t="s">
        <v>495</v>
      </c>
      <c r="X62" s="54">
        <v>14.98</v>
      </c>
      <c r="Y62" s="54">
        <v>0.54</v>
      </c>
      <c r="Z62" s="25" t="s">
        <v>127</v>
      </c>
    </row>
    <row r="63" spans="1:26" ht="18" customHeight="1">
      <c r="A63" s="15">
        <v>61</v>
      </c>
      <c r="B63" s="25" t="s">
        <v>172</v>
      </c>
      <c r="C63" s="26" t="s">
        <v>124</v>
      </c>
      <c r="D63" s="16" t="s">
        <v>493</v>
      </c>
      <c r="E63" s="22" t="s">
        <v>125</v>
      </c>
      <c r="F63" s="19" t="s">
        <v>41</v>
      </c>
      <c r="G63" s="27" t="s">
        <v>518</v>
      </c>
      <c r="H63" s="19" t="s">
        <v>41</v>
      </c>
      <c r="I63" s="44" t="s">
        <v>484</v>
      </c>
      <c r="J63" s="25">
        <v>22</v>
      </c>
      <c r="K63" s="154">
        <v>12.9</v>
      </c>
      <c r="L63" s="303">
        <v>11.88</v>
      </c>
      <c r="M63" s="303">
        <v>13.46</v>
      </c>
      <c r="N63" s="153">
        <f t="shared" si="5"/>
        <v>13.88</v>
      </c>
      <c r="O63" s="153">
        <f t="shared" si="6"/>
        <v>13.38</v>
      </c>
      <c r="P63" s="153">
        <f t="shared" si="7"/>
        <v>12.88</v>
      </c>
      <c r="Q63" s="153">
        <f t="shared" si="8"/>
        <v>12.38</v>
      </c>
      <c r="R63" s="26">
        <v>1</v>
      </c>
      <c r="S63" s="37">
        <v>0.8</v>
      </c>
      <c r="T63" s="37">
        <f t="shared" si="9"/>
        <v>17.600000000000001</v>
      </c>
      <c r="U63" s="58">
        <v>6304990099</v>
      </c>
      <c r="V63" s="55">
        <v>0.12</v>
      </c>
      <c r="W63" s="54" t="s">
        <v>495</v>
      </c>
      <c r="X63" s="54">
        <v>14.98</v>
      </c>
      <c r="Y63" s="54">
        <v>0.54</v>
      </c>
      <c r="Z63" s="25" t="s">
        <v>127</v>
      </c>
    </row>
    <row r="64" spans="1:26" ht="18" customHeight="1">
      <c r="A64" s="15">
        <v>62</v>
      </c>
      <c r="B64" s="340" t="s">
        <v>173</v>
      </c>
      <c r="C64" s="26" t="s">
        <v>174</v>
      </c>
      <c r="D64" s="28" t="s">
        <v>482</v>
      </c>
      <c r="E64" s="29" t="s">
        <v>483</v>
      </c>
      <c r="F64" s="19" t="s">
        <v>41</v>
      </c>
      <c r="G64" s="27" t="s">
        <v>487</v>
      </c>
      <c r="H64" s="19" t="s">
        <v>41</v>
      </c>
      <c r="I64" s="44" t="s">
        <v>484</v>
      </c>
      <c r="J64" s="25">
        <v>30</v>
      </c>
      <c r="K64" s="367">
        <v>10.75</v>
      </c>
      <c r="L64" s="301">
        <v>1.2</v>
      </c>
      <c r="M64" s="301">
        <v>2.78</v>
      </c>
      <c r="N64" s="153">
        <f t="shared" si="5"/>
        <v>3.2</v>
      </c>
      <c r="O64" s="153">
        <f t="shared" si="6"/>
        <v>2.7</v>
      </c>
      <c r="P64" s="153">
        <f t="shared" si="7"/>
        <v>2.2000000000000002</v>
      </c>
      <c r="Q64" s="153">
        <f t="shared" si="8"/>
        <v>1.7</v>
      </c>
      <c r="R64" s="339">
        <v>1</v>
      </c>
      <c r="S64" s="37">
        <v>0.8</v>
      </c>
      <c r="T64" s="37">
        <f t="shared" si="9"/>
        <v>24</v>
      </c>
      <c r="U64" s="58">
        <v>9021109000</v>
      </c>
      <c r="V64" s="55">
        <v>0</v>
      </c>
      <c r="W64" s="62" t="s">
        <v>519</v>
      </c>
      <c r="X64" s="62">
        <v>8.99</v>
      </c>
      <c r="Y64" s="62">
        <v>0.04</v>
      </c>
      <c r="Z64" s="63" t="s">
        <v>176</v>
      </c>
    </row>
    <row r="65" spans="1:26" ht="18" customHeight="1">
      <c r="A65" s="15">
        <v>63</v>
      </c>
      <c r="B65" s="340"/>
      <c r="C65" s="26" t="s">
        <v>177</v>
      </c>
      <c r="D65" s="65" t="s">
        <v>520</v>
      </c>
      <c r="E65" s="66" t="s">
        <v>521</v>
      </c>
      <c r="F65" s="19" t="s">
        <v>41</v>
      </c>
      <c r="G65" s="27" t="s">
        <v>475</v>
      </c>
      <c r="H65" s="19" t="s">
        <v>41</v>
      </c>
      <c r="I65" s="44" t="s">
        <v>472</v>
      </c>
      <c r="J65" s="25">
        <v>2</v>
      </c>
      <c r="K65" s="368"/>
      <c r="L65" s="302">
        <v>0.3</v>
      </c>
      <c r="M65" s="302">
        <v>1.88</v>
      </c>
      <c r="N65" s="153">
        <f t="shared" si="5"/>
        <v>2.2999999999999998</v>
      </c>
      <c r="O65" s="153">
        <f t="shared" si="6"/>
        <v>1.8</v>
      </c>
      <c r="P65" s="153">
        <f t="shared" si="7"/>
        <v>1.3</v>
      </c>
      <c r="Q65" s="153">
        <f t="shared" si="8"/>
        <v>0.8</v>
      </c>
      <c r="R65" s="339"/>
      <c r="S65" s="37">
        <v>0.8</v>
      </c>
      <c r="T65" s="37">
        <f t="shared" si="9"/>
        <v>1.6</v>
      </c>
      <c r="U65" s="58">
        <v>3926909790</v>
      </c>
      <c r="V65" s="55">
        <v>6.5000000000000002E-2</v>
      </c>
      <c r="W65" s="62" t="s">
        <v>522</v>
      </c>
      <c r="X65" s="62">
        <v>21.99</v>
      </c>
      <c r="Y65" s="62">
        <v>0.15</v>
      </c>
      <c r="Z65" s="63" t="s">
        <v>179</v>
      </c>
    </row>
    <row r="66" spans="1:26" ht="18" customHeight="1">
      <c r="A66" s="15">
        <v>64</v>
      </c>
      <c r="B66" s="340"/>
      <c r="C66" s="26" t="s">
        <v>180</v>
      </c>
      <c r="D66" s="67" t="s">
        <v>523</v>
      </c>
      <c r="E66" s="22" t="s">
        <v>181</v>
      </c>
      <c r="F66" s="19" t="s">
        <v>41</v>
      </c>
      <c r="G66" s="27" t="s">
        <v>524</v>
      </c>
      <c r="H66" s="19" t="s">
        <v>41</v>
      </c>
      <c r="I66" s="44" t="s">
        <v>484</v>
      </c>
      <c r="J66" s="25">
        <v>30</v>
      </c>
      <c r="K66" s="368"/>
      <c r="L66" s="302">
        <v>3</v>
      </c>
      <c r="M66" s="302">
        <v>4.58</v>
      </c>
      <c r="N66" s="153">
        <f t="shared" si="5"/>
        <v>5</v>
      </c>
      <c r="O66" s="153">
        <f t="shared" si="6"/>
        <v>4.5</v>
      </c>
      <c r="P66" s="153">
        <f t="shared" si="7"/>
        <v>4</v>
      </c>
      <c r="Q66" s="153">
        <f t="shared" si="8"/>
        <v>3.5</v>
      </c>
      <c r="R66" s="339"/>
      <c r="S66" s="37">
        <v>0.8</v>
      </c>
      <c r="T66" s="37">
        <f t="shared" si="9"/>
        <v>24</v>
      </c>
      <c r="U66" s="58">
        <v>9021109000</v>
      </c>
      <c r="V66" s="55">
        <v>0</v>
      </c>
      <c r="W66" s="62" t="s">
        <v>525</v>
      </c>
      <c r="X66" s="62">
        <v>12.99</v>
      </c>
      <c r="Y66" s="62">
        <v>0.1</v>
      </c>
      <c r="Z66" s="63" t="s">
        <v>183</v>
      </c>
    </row>
    <row r="67" spans="1:26" ht="18" customHeight="1">
      <c r="A67" s="15">
        <v>65</v>
      </c>
      <c r="B67" s="25" t="s">
        <v>184</v>
      </c>
      <c r="C67" s="26" t="s">
        <v>177</v>
      </c>
      <c r="D67" s="65" t="s">
        <v>520</v>
      </c>
      <c r="E67" s="66" t="s">
        <v>521</v>
      </c>
      <c r="F67" s="19" t="s">
        <v>41</v>
      </c>
      <c r="G67" s="27" t="s">
        <v>475</v>
      </c>
      <c r="H67" s="19" t="s">
        <v>41</v>
      </c>
      <c r="I67" s="44" t="s">
        <v>472</v>
      </c>
      <c r="J67" s="25">
        <v>28</v>
      </c>
      <c r="K67" s="154">
        <v>18.55</v>
      </c>
      <c r="L67" s="303">
        <v>4.2</v>
      </c>
      <c r="M67" s="303">
        <v>5.78</v>
      </c>
      <c r="N67" s="153">
        <f t="shared" ref="N67:N98" si="10">J67*Y67+2</f>
        <v>6.2</v>
      </c>
      <c r="O67" s="153">
        <f t="shared" ref="O67:O98" si="11">J67*Y67+1.5</f>
        <v>5.7</v>
      </c>
      <c r="P67" s="153">
        <f t="shared" ref="P67:P98" si="12">J67*Y67+1</f>
        <v>5.2</v>
      </c>
      <c r="Q67" s="153">
        <f t="shared" ref="Q67:Q98" si="13">J67*Y67+0.5</f>
        <v>4.7</v>
      </c>
      <c r="R67" s="26">
        <v>1</v>
      </c>
      <c r="S67" s="37">
        <v>0.8</v>
      </c>
      <c r="T67" s="37">
        <f t="shared" ref="T67:T98" si="14">S67*J67</f>
        <v>22.400000000000002</v>
      </c>
      <c r="U67" s="58">
        <v>3926909790</v>
      </c>
      <c r="V67" s="55">
        <v>6.5000000000000002E-2</v>
      </c>
      <c r="W67" s="62" t="s">
        <v>522</v>
      </c>
      <c r="X67" s="62">
        <v>21.99</v>
      </c>
      <c r="Y67" s="62">
        <v>0.15</v>
      </c>
      <c r="Z67" s="25" t="s">
        <v>179</v>
      </c>
    </row>
    <row r="68" spans="1:26" ht="18" customHeight="1">
      <c r="A68" s="15">
        <v>66</v>
      </c>
      <c r="B68" s="340" t="s">
        <v>185</v>
      </c>
      <c r="C68" s="26" t="s">
        <v>124</v>
      </c>
      <c r="D68" s="16" t="s">
        <v>493</v>
      </c>
      <c r="E68" s="22" t="s">
        <v>125</v>
      </c>
      <c r="F68" s="19" t="s">
        <v>41</v>
      </c>
      <c r="G68" s="27" t="s">
        <v>518</v>
      </c>
      <c r="H68" s="19" t="s">
        <v>41</v>
      </c>
      <c r="I68" s="44" t="s">
        <v>484</v>
      </c>
      <c r="J68" s="25">
        <v>8</v>
      </c>
      <c r="K68" s="367">
        <v>13.4</v>
      </c>
      <c r="L68" s="301">
        <v>4.32</v>
      </c>
      <c r="M68" s="301">
        <v>5.9</v>
      </c>
      <c r="N68" s="153">
        <f t="shared" si="10"/>
        <v>6.32</v>
      </c>
      <c r="O68" s="153">
        <f t="shared" si="11"/>
        <v>5.82</v>
      </c>
      <c r="P68" s="153">
        <f t="shared" si="12"/>
        <v>5.32</v>
      </c>
      <c r="Q68" s="153">
        <f t="shared" si="13"/>
        <v>4.82</v>
      </c>
      <c r="R68" s="339">
        <v>1</v>
      </c>
      <c r="S68" s="37">
        <v>0.8</v>
      </c>
      <c r="T68" s="37">
        <f t="shared" si="14"/>
        <v>6.4</v>
      </c>
      <c r="U68" s="58">
        <v>6304990099</v>
      </c>
      <c r="V68" s="55">
        <v>0.12</v>
      </c>
      <c r="W68" s="54" t="s">
        <v>495</v>
      </c>
      <c r="X68" s="54">
        <v>14.98</v>
      </c>
      <c r="Y68" s="54">
        <v>0.54</v>
      </c>
      <c r="Z68" s="25" t="s">
        <v>127</v>
      </c>
    </row>
    <row r="69" spans="1:26" ht="18" customHeight="1">
      <c r="A69" s="15">
        <v>67</v>
      </c>
      <c r="B69" s="340"/>
      <c r="C69" s="26" t="s">
        <v>186</v>
      </c>
      <c r="D69" s="16" t="s">
        <v>526</v>
      </c>
      <c r="E69" s="22" t="s">
        <v>187</v>
      </c>
      <c r="F69" s="19" t="s">
        <v>41</v>
      </c>
      <c r="G69" s="27" t="s">
        <v>527</v>
      </c>
      <c r="H69" s="19" t="s">
        <v>41</v>
      </c>
      <c r="I69" s="44" t="s">
        <v>528</v>
      </c>
      <c r="J69" s="25">
        <v>30</v>
      </c>
      <c r="K69" s="368"/>
      <c r="L69" s="302">
        <v>3</v>
      </c>
      <c r="M69" s="302">
        <v>4.58</v>
      </c>
      <c r="N69" s="153">
        <f t="shared" si="10"/>
        <v>5</v>
      </c>
      <c r="O69" s="153">
        <f t="shared" si="11"/>
        <v>4.5</v>
      </c>
      <c r="P69" s="153">
        <f t="shared" si="12"/>
        <v>4</v>
      </c>
      <c r="Q69" s="153">
        <f t="shared" si="13"/>
        <v>3.5</v>
      </c>
      <c r="R69" s="339"/>
      <c r="S69" s="37">
        <v>0.8</v>
      </c>
      <c r="T69" s="37">
        <f t="shared" si="14"/>
        <v>24</v>
      </c>
      <c r="U69" s="58">
        <v>6307909899</v>
      </c>
      <c r="V69" s="55">
        <v>6.3E-2</v>
      </c>
      <c r="W69" s="62" t="s">
        <v>529</v>
      </c>
      <c r="X69" s="62">
        <v>5.67</v>
      </c>
      <c r="Y69" s="62">
        <v>0.1</v>
      </c>
      <c r="Z69" s="88" t="s">
        <v>190</v>
      </c>
    </row>
    <row r="70" spans="1:26" ht="18" customHeight="1">
      <c r="A70" s="15">
        <v>68</v>
      </c>
      <c r="B70" s="340"/>
      <c r="C70" s="26" t="s">
        <v>151</v>
      </c>
      <c r="D70" s="16" t="s">
        <v>508</v>
      </c>
      <c r="E70" s="22" t="s">
        <v>152</v>
      </c>
      <c r="F70" s="19" t="s">
        <v>41</v>
      </c>
      <c r="G70" s="27" t="s">
        <v>515</v>
      </c>
      <c r="H70" s="19" t="s">
        <v>41</v>
      </c>
      <c r="I70" s="44" t="s">
        <v>484</v>
      </c>
      <c r="J70" s="25">
        <v>30</v>
      </c>
      <c r="K70" s="368"/>
      <c r="L70" s="302">
        <v>4.5</v>
      </c>
      <c r="M70" s="302">
        <v>6.08</v>
      </c>
      <c r="N70" s="153">
        <f t="shared" si="10"/>
        <v>6.5</v>
      </c>
      <c r="O70" s="153">
        <f t="shared" si="11"/>
        <v>6</v>
      </c>
      <c r="P70" s="153">
        <f t="shared" si="12"/>
        <v>5.5</v>
      </c>
      <c r="Q70" s="153">
        <f t="shared" si="13"/>
        <v>5</v>
      </c>
      <c r="R70" s="339"/>
      <c r="S70" s="37">
        <v>0.8</v>
      </c>
      <c r="T70" s="37">
        <f t="shared" si="14"/>
        <v>24</v>
      </c>
      <c r="U70" s="58">
        <v>9021109000</v>
      </c>
      <c r="V70" s="55">
        <v>0</v>
      </c>
      <c r="W70" s="62" t="s">
        <v>509</v>
      </c>
      <c r="X70" s="62">
        <v>13.66</v>
      </c>
      <c r="Y70" s="62">
        <v>0.15</v>
      </c>
      <c r="Z70" s="25" t="s">
        <v>191</v>
      </c>
    </row>
    <row r="71" spans="1:26" ht="18" customHeight="1">
      <c r="A71" s="15">
        <v>69</v>
      </c>
      <c r="B71" s="25" t="s">
        <v>192</v>
      </c>
      <c r="C71" s="26" t="s">
        <v>124</v>
      </c>
      <c r="D71" s="16" t="s">
        <v>493</v>
      </c>
      <c r="E71" s="22" t="s">
        <v>125</v>
      </c>
      <c r="F71" s="19" t="s">
        <v>41</v>
      </c>
      <c r="G71" s="27" t="s">
        <v>518</v>
      </c>
      <c r="H71" s="19" t="s">
        <v>41</v>
      </c>
      <c r="I71" s="44" t="s">
        <v>484</v>
      </c>
      <c r="J71" s="25">
        <v>15</v>
      </c>
      <c r="K71" s="154">
        <v>14.6</v>
      </c>
      <c r="L71" s="303">
        <v>12.9</v>
      </c>
      <c r="M71" s="303">
        <v>14.48</v>
      </c>
      <c r="N71" s="153">
        <f t="shared" si="10"/>
        <v>14.9</v>
      </c>
      <c r="O71" s="153">
        <f t="shared" si="11"/>
        <v>14.4</v>
      </c>
      <c r="P71" s="153">
        <f t="shared" si="12"/>
        <v>13.9</v>
      </c>
      <c r="Q71" s="153">
        <f t="shared" si="13"/>
        <v>13.4</v>
      </c>
      <c r="R71" s="26">
        <v>1</v>
      </c>
      <c r="S71" s="37">
        <v>0.8</v>
      </c>
      <c r="T71" s="37">
        <f t="shared" si="14"/>
        <v>12</v>
      </c>
      <c r="U71" s="58">
        <v>6304990099</v>
      </c>
      <c r="V71" s="55">
        <v>0.12</v>
      </c>
      <c r="W71" s="54" t="s">
        <v>530</v>
      </c>
      <c r="X71" s="54">
        <v>24.99</v>
      </c>
      <c r="Y71" s="54">
        <v>0.86</v>
      </c>
      <c r="Z71" s="64" t="s">
        <v>193</v>
      </c>
    </row>
    <row r="72" spans="1:26" ht="18" customHeight="1">
      <c r="A72" s="15">
        <v>70</v>
      </c>
      <c r="B72" s="25" t="s">
        <v>194</v>
      </c>
      <c r="C72" s="26" t="s">
        <v>124</v>
      </c>
      <c r="D72" s="16" t="s">
        <v>493</v>
      </c>
      <c r="E72" s="22" t="s">
        <v>125</v>
      </c>
      <c r="F72" s="19" t="s">
        <v>41</v>
      </c>
      <c r="G72" s="27" t="s">
        <v>518</v>
      </c>
      <c r="H72" s="19" t="s">
        <v>41</v>
      </c>
      <c r="I72" s="44" t="s">
        <v>484</v>
      </c>
      <c r="J72" s="25">
        <v>15</v>
      </c>
      <c r="K72" s="154">
        <v>14.95</v>
      </c>
      <c r="L72" s="303">
        <v>12.9</v>
      </c>
      <c r="M72" s="303">
        <v>14.48</v>
      </c>
      <c r="N72" s="153">
        <f t="shared" si="10"/>
        <v>14.9</v>
      </c>
      <c r="O72" s="153">
        <f t="shared" si="11"/>
        <v>14.4</v>
      </c>
      <c r="P72" s="153">
        <f t="shared" si="12"/>
        <v>13.9</v>
      </c>
      <c r="Q72" s="153">
        <f t="shared" si="13"/>
        <v>13.4</v>
      </c>
      <c r="R72" s="26">
        <v>1</v>
      </c>
      <c r="S72" s="37">
        <v>0.8</v>
      </c>
      <c r="T72" s="37">
        <f t="shared" si="14"/>
        <v>12</v>
      </c>
      <c r="U72" s="58">
        <v>6304990099</v>
      </c>
      <c r="V72" s="55">
        <v>0.12</v>
      </c>
      <c r="W72" s="54" t="s">
        <v>530</v>
      </c>
      <c r="X72" s="54">
        <v>24.99</v>
      </c>
      <c r="Y72" s="54">
        <v>0.86</v>
      </c>
      <c r="Z72" s="25" t="s">
        <v>193</v>
      </c>
    </row>
    <row r="73" spans="1:26" ht="18" customHeight="1">
      <c r="A73" s="15">
        <v>71</v>
      </c>
      <c r="B73" s="340" t="s">
        <v>195</v>
      </c>
      <c r="C73" s="26" t="s">
        <v>124</v>
      </c>
      <c r="D73" s="16" t="s">
        <v>493</v>
      </c>
      <c r="E73" s="22" t="s">
        <v>125</v>
      </c>
      <c r="F73" s="19" t="s">
        <v>41</v>
      </c>
      <c r="G73" s="27" t="s">
        <v>518</v>
      </c>
      <c r="H73" s="19" t="s">
        <v>41</v>
      </c>
      <c r="I73" s="44" t="s">
        <v>484</v>
      </c>
      <c r="J73" s="25">
        <v>8</v>
      </c>
      <c r="K73" s="367">
        <v>13.1</v>
      </c>
      <c r="L73" s="301">
        <v>4.32</v>
      </c>
      <c r="M73" s="301">
        <v>5.9</v>
      </c>
      <c r="N73" s="153">
        <f t="shared" si="10"/>
        <v>6.32</v>
      </c>
      <c r="O73" s="153">
        <f t="shared" si="11"/>
        <v>5.82</v>
      </c>
      <c r="P73" s="153">
        <f t="shared" si="12"/>
        <v>5.32</v>
      </c>
      <c r="Q73" s="153">
        <f t="shared" si="13"/>
        <v>4.82</v>
      </c>
      <c r="R73" s="339">
        <v>1</v>
      </c>
      <c r="S73" s="37">
        <v>0.8</v>
      </c>
      <c r="T73" s="37">
        <f t="shared" si="14"/>
        <v>6.4</v>
      </c>
      <c r="U73" s="58">
        <v>6304990099</v>
      </c>
      <c r="V73" s="55">
        <v>0.12</v>
      </c>
      <c r="W73" s="54" t="s">
        <v>495</v>
      </c>
      <c r="X73" s="54">
        <v>14.98</v>
      </c>
      <c r="Y73" s="54">
        <v>0.54</v>
      </c>
      <c r="Z73" s="25" t="s">
        <v>127</v>
      </c>
    </row>
    <row r="74" spans="1:26" ht="18" customHeight="1">
      <c r="A74" s="15">
        <v>72</v>
      </c>
      <c r="B74" s="340"/>
      <c r="C74" s="26" t="s">
        <v>196</v>
      </c>
      <c r="D74" s="16" t="s">
        <v>531</v>
      </c>
      <c r="E74" s="22" t="s">
        <v>197</v>
      </c>
      <c r="F74" s="19" t="s">
        <v>41</v>
      </c>
      <c r="G74" s="25" t="s">
        <v>198</v>
      </c>
      <c r="H74" s="19" t="s">
        <v>41</v>
      </c>
      <c r="I74" s="44" t="s">
        <v>532</v>
      </c>
      <c r="J74" s="25">
        <v>30</v>
      </c>
      <c r="K74" s="368"/>
      <c r="L74" s="302">
        <v>0</v>
      </c>
      <c r="M74" s="302">
        <v>1.58</v>
      </c>
      <c r="N74" s="153">
        <f t="shared" si="10"/>
        <v>11.6</v>
      </c>
      <c r="O74" s="153">
        <f t="shared" si="11"/>
        <v>11.1</v>
      </c>
      <c r="P74" s="153">
        <f t="shared" si="12"/>
        <v>10.6</v>
      </c>
      <c r="Q74" s="153">
        <f t="shared" si="13"/>
        <v>10.1</v>
      </c>
      <c r="R74" s="339"/>
      <c r="S74" s="37">
        <v>0.8</v>
      </c>
      <c r="T74" s="37">
        <f t="shared" si="14"/>
        <v>24</v>
      </c>
      <c r="U74" s="58">
        <v>8543709099</v>
      </c>
      <c r="V74" s="55">
        <v>3.6999999999999998E-2</v>
      </c>
      <c r="W74" s="62" t="s">
        <v>533</v>
      </c>
      <c r="X74" s="62"/>
      <c r="Y74" s="62">
        <v>0.32</v>
      </c>
      <c r="Z74" s="63" t="s">
        <v>200</v>
      </c>
    </row>
    <row r="75" spans="1:26" ht="18" customHeight="1">
      <c r="A75" s="15">
        <v>73</v>
      </c>
      <c r="B75" s="340" t="s">
        <v>534</v>
      </c>
      <c r="C75" s="26" t="s">
        <v>202</v>
      </c>
      <c r="D75" s="16" t="s">
        <v>535</v>
      </c>
      <c r="E75" s="22" t="s">
        <v>203</v>
      </c>
      <c r="F75" s="19" t="s">
        <v>41</v>
      </c>
      <c r="G75" s="68" t="s">
        <v>536</v>
      </c>
      <c r="H75" s="19" t="s">
        <v>41</v>
      </c>
      <c r="I75" s="81" t="s">
        <v>472</v>
      </c>
      <c r="J75" s="26">
        <v>4</v>
      </c>
      <c r="K75" s="366">
        <v>12.4</v>
      </c>
      <c r="L75" s="304">
        <v>4.92</v>
      </c>
      <c r="M75" s="304">
        <v>6.5</v>
      </c>
      <c r="N75" s="153">
        <f t="shared" si="10"/>
        <v>6.92</v>
      </c>
      <c r="O75" s="153">
        <f t="shared" si="11"/>
        <v>6.42</v>
      </c>
      <c r="P75" s="153">
        <f t="shared" si="12"/>
        <v>5.92</v>
      </c>
      <c r="Q75" s="153">
        <f t="shared" si="13"/>
        <v>5.42</v>
      </c>
      <c r="R75" s="339">
        <v>1</v>
      </c>
      <c r="S75" s="37">
        <v>2.1</v>
      </c>
      <c r="T75" s="37">
        <f t="shared" si="14"/>
        <v>8.4</v>
      </c>
      <c r="U75" s="58">
        <v>8714993000</v>
      </c>
      <c r="V75" s="55">
        <v>4.7E-2</v>
      </c>
      <c r="W75" s="89" t="s">
        <v>537</v>
      </c>
      <c r="X75" s="89">
        <v>39.99</v>
      </c>
      <c r="Y75" s="89">
        <v>1.23</v>
      </c>
      <c r="Z75" s="90" t="s">
        <v>205</v>
      </c>
    </row>
    <row r="76" spans="1:26" ht="18" customHeight="1">
      <c r="A76" s="15">
        <v>74</v>
      </c>
      <c r="B76" s="340"/>
      <c r="C76" s="26" t="s">
        <v>206</v>
      </c>
      <c r="D76" s="148" t="s">
        <v>538</v>
      </c>
      <c r="E76" s="149" t="s">
        <v>539</v>
      </c>
      <c r="F76" s="19" t="s">
        <v>41</v>
      </c>
      <c r="G76" s="68" t="s">
        <v>540</v>
      </c>
      <c r="H76" s="19" t="s">
        <v>41</v>
      </c>
      <c r="I76" s="81" t="s">
        <v>541</v>
      </c>
      <c r="J76" s="26">
        <v>10</v>
      </c>
      <c r="K76" s="366"/>
      <c r="L76" s="304">
        <v>3.2</v>
      </c>
      <c r="M76" s="304">
        <v>4.78</v>
      </c>
      <c r="N76" s="153">
        <f t="shared" si="10"/>
        <v>5.2</v>
      </c>
      <c r="O76" s="153">
        <f t="shared" si="11"/>
        <v>4.7</v>
      </c>
      <c r="P76" s="153">
        <f t="shared" si="12"/>
        <v>4.2</v>
      </c>
      <c r="Q76" s="153">
        <f t="shared" si="13"/>
        <v>3.7</v>
      </c>
      <c r="R76" s="339"/>
      <c r="S76" s="37">
        <v>2.1</v>
      </c>
      <c r="T76" s="37">
        <f t="shared" si="14"/>
        <v>21</v>
      </c>
      <c r="U76" s="58">
        <v>8714949090</v>
      </c>
      <c r="V76" s="55">
        <v>4.7E-2</v>
      </c>
      <c r="W76" s="91" t="s">
        <v>542</v>
      </c>
      <c r="X76" s="91">
        <v>19.989999999999998</v>
      </c>
      <c r="Y76" s="91">
        <v>0.32</v>
      </c>
      <c r="Z76" s="92" t="s">
        <v>210</v>
      </c>
    </row>
    <row r="77" spans="1:26" ht="18" customHeight="1">
      <c r="A77" s="15">
        <v>75</v>
      </c>
      <c r="B77" s="340"/>
      <c r="C77" s="26" t="s">
        <v>206</v>
      </c>
      <c r="D77" s="148" t="s">
        <v>538</v>
      </c>
      <c r="E77" s="149" t="s">
        <v>539</v>
      </c>
      <c r="F77" s="19" t="s">
        <v>41</v>
      </c>
      <c r="G77" s="68" t="s">
        <v>543</v>
      </c>
      <c r="H77" s="19" t="s">
        <v>41</v>
      </c>
      <c r="I77" s="81" t="s">
        <v>544</v>
      </c>
      <c r="J77" s="26">
        <v>5</v>
      </c>
      <c r="K77" s="366"/>
      <c r="L77" s="304">
        <v>1.6</v>
      </c>
      <c r="M77" s="304">
        <v>3.18</v>
      </c>
      <c r="N77" s="153">
        <f t="shared" si="10"/>
        <v>3.6</v>
      </c>
      <c r="O77" s="153">
        <f t="shared" si="11"/>
        <v>3.1</v>
      </c>
      <c r="P77" s="153">
        <f t="shared" si="12"/>
        <v>2.6</v>
      </c>
      <c r="Q77" s="153">
        <f t="shared" si="13"/>
        <v>2.1</v>
      </c>
      <c r="R77" s="339"/>
      <c r="S77" s="37">
        <v>2.1</v>
      </c>
      <c r="T77" s="37">
        <f t="shared" si="14"/>
        <v>10.5</v>
      </c>
      <c r="U77" s="58">
        <v>8714949090</v>
      </c>
      <c r="V77" s="55">
        <v>4.7E-2</v>
      </c>
      <c r="W77" s="91" t="s">
        <v>542</v>
      </c>
      <c r="X77" s="91">
        <v>19.989999999999998</v>
      </c>
      <c r="Y77" s="91">
        <v>0.32</v>
      </c>
      <c r="Z77" s="90" t="s">
        <v>213</v>
      </c>
    </row>
    <row r="78" spans="1:26" ht="18" customHeight="1">
      <c r="A78" s="15">
        <v>76</v>
      </c>
      <c r="B78" s="340"/>
      <c r="C78" s="26" t="s">
        <v>214</v>
      </c>
      <c r="D78" s="16" t="s">
        <v>545</v>
      </c>
      <c r="E78" s="22" t="s">
        <v>215</v>
      </c>
      <c r="F78" s="19" t="s">
        <v>41</v>
      </c>
      <c r="G78" s="68" t="s">
        <v>543</v>
      </c>
      <c r="H78" s="19" t="s">
        <v>41</v>
      </c>
      <c r="I78" s="81" t="s">
        <v>546</v>
      </c>
      <c r="J78" s="26">
        <v>3</v>
      </c>
      <c r="K78" s="366"/>
      <c r="L78" s="304">
        <v>0.36</v>
      </c>
      <c r="M78" s="304">
        <v>1.94</v>
      </c>
      <c r="N78" s="153">
        <f t="shared" si="10"/>
        <v>2.36</v>
      </c>
      <c r="O78" s="153">
        <f t="shared" si="11"/>
        <v>1.8599999999999999</v>
      </c>
      <c r="P78" s="153">
        <f t="shared" si="12"/>
        <v>1.3599999999999999</v>
      </c>
      <c r="Q78" s="153">
        <f t="shared" si="13"/>
        <v>0.86</v>
      </c>
      <c r="R78" s="339"/>
      <c r="S78" s="37">
        <v>2.1</v>
      </c>
      <c r="T78" s="37">
        <f t="shared" si="14"/>
        <v>6.3000000000000007</v>
      </c>
      <c r="U78" s="58">
        <v>8714999089</v>
      </c>
      <c r="V78" s="55">
        <v>4.7E-2</v>
      </c>
      <c r="W78" s="91" t="s">
        <v>547</v>
      </c>
      <c r="X78" s="91">
        <v>12.79</v>
      </c>
      <c r="Y78" s="91">
        <v>0.12</v>
      </c>
      <c r="Z78" s="92" t="s">
        <v>217</v>
      </c>
    </row>
    <row r="79" spans="1:26" ht="18" customHeight="1">
      <c r="A79" s="15">
        <v>77</v>
      </c>
      <c r="B79" s="340" t="s">
        <v>548</v>
      </c>
      <c r="C79" s="69" t="s">
        <v>202</v>
      </c>
      <c r="D79" s="16" t="s">
        <v>535</v>
      </c>
      <c r="E79" s="22" t="s">
        <v>203</v>
      </c>
      <c r="F79" s="19" t="s">
        <v>41</v>
      </c>
      <c r="G79" s="70" t="s">
        <v>536</v>
      </c>
      <c r="H79" s="19" t="s">
        <v>41</v>
      </c>
      <c r="I79" s="82" t="s">
        <v>472</v>
      </c>
      <c r="J79" s="26">
        <v>4</v>
      </c>
      <c r="K79" s="366">
        <v>15.9</v>
      </c>
      <c r="L79" s="304">
        <v>4.92</v>
      </c>
      <c r="M79" s="304">
        <v>6.5</v>
      </c>
      <c r="N79" s="153">
        <f t="shared" si="10"/>
        <v>6.92</v>
      </c>
      <c r="O79" s="153">
        <f t="shared" si="11"/>
        <v>6.42</v>
      </c>
      <c r="P79" s="153">
        <f t="shared" si="12"/>
        <v>5.92</v>
      </c>
      <c r="Q79" s="153">
        <f t="shared" si="13"/>
        <v>5.42</v>
      </c>
      <c r="R79" s="339">
        <v>1</v>
      </c>
      <c r="S79" s="37">
        <v>2.1</v>
      </c>
      <c r="T79" s="37">
        <f t="shared" si="14"/>
        <v>8.4</v>
      </c>
      <c r="U79" s="58">
        <v>8714993000</v>
      </c>
      <c r="V79" s="55">
        <v>4.7E-2</v>
      </c>
      <c r="W79" s="89" t="s">
        <v>537</v>
      </c>
      <c r="X79" s="89">
        <v>39.99</v>
      </c>
      <c r="Y79" s="89">
        <v>1.23</v>
      </c>
      <c r="Z79" s="92" t="s">
        <v>205</v>
      </c>
    </row>
    <row r="80" spans="1:26" ht="18" customHeight="1">
      <c r="A80" s="15">
        <v>78</v>
      </c>
      <c r="B80" s="340"/>
      <c r="C80" s="69" t="s">
        <v>221</v>
      </c>
      <c r="D80" s="16" t="s">
        <v>549</v>
      </c>
      <c r="E80" s="22" t="s">
        <v>222</v>
      </c>
      <c r="F80" s="19" t="s">
        <v>41</v>
      </c>
      <c r="G80" s="70" t="s">
        <v>536</v>
      </c>
      <c r="H80" s="19" t="s">
        <v>41</v>
      </c>
      <c r="I80" s="82" t="s">
        <v>472</v>
      </c>
      <c r="J80" s="26">
        <v>5</v>
      </c>
      <c r="K80" s="366"/>
      <c r="L80" s="304">
        <v>2.15</v>
      </c>
      <c r="M80" s="304">
        <v>3.73</v>
      </c>
      <c r="N80" s="153">
        <f t="shared" si="10"/>
        <v>4.1500000000000004</v>
      </c>
      <c r="O80" s="153">
        <f t="shared" si="11"/>
        <v>3.65</v>
      </c>
      <c r="P80" s="153">
        <f t="shared" si="12"/>
        <v>3.15</v>
      </c>
      <c r="Q80" s="153">
        <f t="shared" si="13"/>
        <v>2.65</v>
      </c>
      <c r="R80" s="339"/>
      <c r="S80" s="37">
        <v>2.1</v>
      </c>
      <c r="T80" s="37">
        <f t="shared" si="14"/>
        <v>10.5</v>
      </c>
      <c r="U80" s="58" t="s">
        <v>550</v>
      </c>
      <c r="V80" s="55">
        <v>1.7000000000000001E-2</v>
      </c>
      <c r="W80" s="89" t="s">
        <v>551</v>
      </c>
      <c r="X80" s="89">
        <v>14.99</v>
      </c>
      <c r="Y80" s="89">
        <v>0.43</v>
      </c>
      <c r="Z80" s="92" t="s">
        <v>223</v>
      </c>
    </row>
    <row r="81" spans="1:26" ht="18" customHeight="1">
      <c r="A81" s="15">
        <v>79</v>
      </c>
      <c r="B81" s="340"/>
      <c r="C81" s="69" t="s">
        <v>224</v>
      </c>
      <c r="D81" s="16" t="s">
        <v>552</v>
      </c>
      <c r="E81" s="22" t="s">
        <v>225</v>
      </c>
      <c r="F81" s="19" t="s">
        <v>41</v>
      </c>
      <c r="G81" s="70" t="s">
        <v>553</v>
      </c>
      <c r="H81" s="19" t="s">
        <v>41</v>
      </c>
      <c r="I81" s="82" t="s">
        <v>554</v>
      </c>
      <c r="J81" s="26">
        <v>5</v>
      </c>
      <c r="K81" s="366"/>
      <c r="L81" s="304">
        <v>1.6</v>
      </c>
      <c r="M81" s="304">
        <v>3.18</v>
      </c>
      <c r="N81" s="153">
        <f t="shared" si="10"/>
        <v>3.6</v>
      </c>
      <c r="O81" s="153">
        <f t="shared" si="11"/>
        <v>3.1</v>
      </c>
      <c r="P81" s="153">
        <f t="shared" si="12"/>
        <v>2.6</v>
      </c>
      <c r="Q81" s="153">
        <f t="shared" si="13"/>
        <v>2.1</v>
      </c>
      <c r="R81" s="339"/>
      <c r="S81" s="37">
        <v>2.1</v>
      </c>
      <c r="T81" s="37">
        <f t="shared" si="14"/>
        <v>10.5</v>
      </c>
      <c r="U81" s="58">
        <v>8708999790</v>
      </c>
      <c r="V81" s="55">
        <v>3.6999999999999998E-2</v>
      </c>
      <c r="W81" s="89" t="s">
        <v>555</v>
      </c>
      <c r="X81" s="89">
        <v>23.99</v>
      </c>
      <c r="Y81" s="89">
        <v>0.32</v>
      </c>
      <c r="Z81" s="92" t="s">
        <v>228</v>
      </c>
    </row>
    <row r="82" spans="1:26" ht="18" customHeight="1">
      <c r="A82" s="15">
        <v>80</v>
      </c>
      <c r="B82" s="340"/>
      <c r="C82" s="69" t="s">
        <v>229</v>
      </c>
      <c r="D82" s="16" t="s">
        <v>556</v>
      </c>
      <c r="E82" s="22" t="s">
        <v>230</v>
      </c>
      <c r="F82" s="19" t="s">
        <v>41</v>
      </c>
      <c r="G82" s="70" t="s">
        <v>557</v>
      </c>
      <c r="H82" s="19" t="s">
        <v>41</v>
      </c>
      <c r="I82" s="82" t="s">
        <v>558</v>
      </c>
      <c r="J82" s="26">
        <v>5</v>
      </c>
      <c r="K82" s="366"/>
      <c r="L82" s="304">
        <v>0.25</v>
      </c>
      <c r="M82" s="304">
        <v>1.83</v>
      </c>
      <c r="N82" s="153">
        <f t="shared" si="10"/>
        <v>2.25</v>
      </c>
      <c r="O82" s="153">
        <f t="shared" si="11"/>
        <v>1.75</v>
      </c>
      <c r="P82" s="153">
        <f t="shared" si="12"/>
        <v>1.25</v>
      </c>
      <c r="Q82" s="153">
        <f t="shared" si="13"/>
        <v>0.75</v>
      </c>
      <c r="R82" s="339"/>
      <c r="S82" s="37">
        <v>2.1</v>
      </c>
      <c r="T82" s="37">
        <f t="shared" si="14"/>
        <v>10.5</v>
      </c>
      <c r="U82" s="58" t="s">
        <v>559</v>
      </c>
      <c r="V82" s="55">
        <v>3.5000000000000003E-2</v>
      </c>
      <c r="W82" s="89" t="s">
        <v>560</v>
      </c>
      <c r="X82" s="89"/>
      <c r="Y82" s="89">
        <v>0.05</v>
      </c>
      <c r="Z82" s="92" t="s">
        <v>233</v>
      </c>
    </row>
    <row r="83" spans="1:26" ht="18" customHeight="1">
      <c r="A83" s="15">
        <v>81</v>
      </c>
      <c r="B83" s="340"/>
      <c r="C83" s="69" t="s">
        <v>214</v>
      </c>
      <c r="D83" s="16" t="s">
        <v>545</v>
      </c>
      <c r="E83" s="22" t="s">
        <v>215</v>
      </c>
      <c r="F83" s="19" t="s">
        <v>41</v>
      </c>
      <c r="G83" s="70" t="s">
        <v>543</v>
      </c>
      <c r="H83" s="19" t="s">
        <v>41</v>
      </c>
      <c r="I83" s="82" t="s">
        <v>546</v>
      </c>
      <c r="J83" s="26">
        <v>2</v>
      </c>
      <c r="K83" s="366"/>
      <c r="L83" s="304">
        <v>0.24</v>
      </c>
      <c r="M83" s="304">
        <v>1.82</v>
      </c>
      <c r="N83" s="153">
        <f t="shared" si="10"/>
        <v>2.2400000000000002</v>
      </c>
      <c r="O83" s="153">
        <f t="shared" si="11"/>
        <v>1.74</v>
      </c>
      <c r="P83" s="153">
        <f t="shared" si="12"/>
        <v>1.24</v>
      </c>
      <c r="Q83" s="153">
        <f t="shared" si="13"/>
        <v>0.74</v>
      </c>
      <c r="R83" s="339"/>
      <c r="S83" s="37">
        <v>2.1</v>
      </c>
      <c r="T83" s="37">
        <f t="shared" si="14"/>
        <v>4.2</v>
      </c>
      <c r="U83" s="58">
        <v>8714999089</v>
      </c>
      <c r="V83" s="55">
        <v>4.7E-2</v>
      </c>
      <c r="W83" s="91" t="s">
        <v>547</v>
      </c>
      <c r="X83" s="91">
        <v>12.79</v>
      </c>
      <c r="Y83" s="91">
        <v>0.12</v>
      </c>
      <c r="Z83" s="90" t="s">
        <v>217</v>
      </c>
    </row>
    <row r="84" spans="1:26" ht="18" customHeight="1">
      <c r="A84" s="15">
        <v>82</v>
      </c>
      <c r="B84" s="340"/>
      <c r="C84" s="69" t="s">
        <v>236</v>
      </c>
      <c r="D84" s="16" t="s">
        <v>561</v>
      </c>
      <c r="E84" s="22" t="s">
        <v>562</v>
      </c>
      <c r="F84" s="19" t="s">
        <v>41</v>
      </c>
      <c r="G84" s="70" t="s">
        <v>543</v>
      </c>
      <c r="H84" s="19" t="s">
        <v>41</v>
      </c>
      <c r="I84" s="82" t="s">
        <v>472</v>
      </c>
      <c r="J84" s="26">
        <v>5</v>
      </c>
      <c r="K84" s="366"/>
      <c r="L84" s="304">
        <v>5</v>
      </c>
      <c r="M84" s="304">
        <v>6.58</v>
      </c>
      <c r="N84" s="153">
        <f t="shared" si="10"/>
        <v>7</v>
      </c>
      <c r="O84" s="153">
        <f t="shared" si="11"/>
        <v>6.5</v>
      </c>
      <c r="P84" s="153">
        <f t="shared" si="12"/>
        <v>6</v>
      </c>
      <c r="Q84" s="153">
        <f t="shared" si="13"/>
        <v>5.5</v>
      </c>
      <c r="R84" s="339"/>
      <c r="S84" s="37">
        <v>2.1</v>
      </c>
      <c r="T84" s="37">
        <f t="shared" si="14"/>
        <v>10.5</v>
      </c>
      <c r="U84" s="58">
        <v>8714949090</v>
      </c>
      <c r="V84" s="55">
        <v>4.7E-2</v>
      </c>
      <c r="W84" s="93" t="s">
        <v>563</v>
      </c>
      <c r="X84" s="93">
        <v>34.39</v>
      </c>
      <c r="Y84" s="89">
        <v>1</v>
      </c>
      <c r="Z84" s="92" t="s">
        <v>238</v>
      </c>
    </row>
    <row r="85" spans="1:26" ht="18" customHeight="1">
      <c r="A85" s="15">
        <v>83</v>
      </c>
      <c r="B85" s="340" t="s">
        <v>564</v>
      </c>
      <c r="C85" s="26" t="s">
        <v>240</v>
      </c>
      <c r="D85" s="16" t="s">
        <v>565</v>
      </c>
      <c r="E85" s="22" t="s">
        <v>241</v>
      </c>
      <c r="F85" s="19" t="s">
        <v>41</v>
      </c>
      <c r="G85" s="68" t="s">
        <v>566</v>
      </c>
      <c r="H85" s="19" t="s">
        <v>41</v>
      </c>
      <c r="I85" s="81" t="s">
        <v>472</v>
      </c>
      <c r="J85" s="26">
        <v>12</v>
      </c>
      <c r="K85" s="365">
        <v>23.4</v>
      </c>
      <c r="L85" s="300">
        <v>9</v>
      </c>
      <c r="M85" s="300">
        <v>10.58</v>
      </c>
      <c r="N85" s="153">
        <f t="shared" si="10"/>
        <v>11</v>
      </c>
      <c r="O85" s="153">
        <f t="shared" si="11"/>
        <v>10.5</v>
      </c>
      <c r="P85" s="153">
        <f t="shared" si="12"/>
        <v>10</v>
      </c>
      <c r="Q85" s="153">
        <f t="shared" si="13"/>
        <v>9.5</v>
      </c>
      <c r="R85" s="340">
        <v>1</v>
      </c>
      <c r="S85" s="37">
        <v>2.2000000000000002</v>
      </c>
      <c r="T85" s="37">
        <f t="shared" si="14"/>
        <v>26.400000000000002</v>
      </c>
      <c r="U85" s="58">
        <v>8539500000</v>
      </c>
      <c r="V85" s="55">
        <v>3.6999999999999998E-2</v>
      </c>
      <c r="W85" s="94" t="s">
        <v>567</v>
      </c>
      <c r="X85" s="94">
        <v>27.99</v>
      </c>
      <c r="Y85" s="95">
        <v>0.75</v>
      </c>
      <c r="Z85" s="92" t="s">
        <v>243</v>
      </c>
    </row>
    <row r="86" spans="1:26" ht="18" customHeight="1">
      <c r="A86" s="15">
        <v>84</v>
      </c>
      <c r="B86" s="340"/>
      <c r="C86" s="26" t="s">
        <v>244</v>
      </c>
      <c r="D86" s="16" t="s">
        <v>568</v>
      </c>
      <c r="E86" s="22" t="s">
        <v>245</v>
      </c>
      <c r="F86" s="19" t="s">
        <v>41</v>
      </c>
      <c r="G86" s="68" t="s">
        <v>499</v>
      </c>
      <c r="H86" s="19" t="s">
        <v>41</v>
      </c>
      <c r="I86" s="81" t="s">
        <v>472</v>
      </c>
      <c r="J86" s="26">
        <v>5</v>
      </c>
      <c r="K86" s="365"/>
      <c r="L86" s="300">
        <v>0.5</v>
      </c>
      <c r="M86" s="300">
        <v>2.08</v>
      </c>
      <c r="N86" s="153">
        <f t="shared" si="10"/>
        <v>2.5</v>
      </c>
      <c r="O86" s="153">
        <f t="shared" si="11"/>
        <v>2</v>
      </c>
      <c r="P86" s="153">
        <f t="shared" si="12"/>
        <v>1.5</v>
      </c>
      <c r="Q86" s="153">
        <f t="shared" si="13"/>
        <v>1</v>
      </c>
      <c r="R86" s="340"/>
      <c r="S86" s="37">
        <v>2.2000000000000002</v>
      </c>
      <c r="T86" s="37">
        <f t="shared" si="14"/>
        <v>11</v>
      </c>
      <c r="U86" s="58">
        <v>7616999099</v>
      </c>
      <c r="V86" s="55">
        <v>0.06</v>
      </c>
      <c r="W86" s="94" t="s">
        <v>569</v>
      </c>
      <c r="X86" s="94">
        <v>19.34</v>
      </c>
      <c r="Y86" s="95">
        <v>0.1</v>
      </c>
      <c r="Z86" s="92" t="s">
        <v>246</v>
      </c>
    </row>
    <row r="87" spans="1:26" ht="18" customHeight="1">
      <c r="A87" s="15">
        <v>85</v>
      </c>
      <c r="B87" s="340"/>
      <c r="C87" s="26" t="s">
        <v>247</v>
      </c>
      <c r="D87" s="71" t="s">
        <v>570</v>
      </c>
      <c r="E87" s="72" t="s">
        <v>571</v>
      </c>
      <c r="F87" s="19" t="s">
        <v>41</v>
      </c>
      <c r="G87" s="68" t="s">
        <v>572</v>
      </c>
      <c r="H87" s="19" t="s">
        <v>41</v>
      </c>
      <c r="I87" s="81" t="s">
        <v>573</v>
      </c>
      <c r="J87" s="26">
        <v>22</v>
      </c>
      <c r="K87" s="365"/>
      <c r="L87" s="300">
        <v>4.4000000000000004</v>
      </c>
      <c r="M87" s="300">
        <v>5.98</v>
      </c>
      <c r="N87" s="153">
        <f t="shared" si="10"/>
        <v>6.4</v>
      </c>
      <c r="O87" s="153">
        <f t="shared" si="11"/>
        <v>5.9</v>
      </c>
      <c r="P87" s="153">
        <f t="shared" si="12"/>
        <v>5.4</v>
      </c>
      <c r="Q87" s="153">
        <f t="shared" si="13"/>
        <v>4.9000000000000004</v>
      </c>
      <c r="R87" s="340"/>
      <c r="S87" s="37">
        <v>2.2000000000000002</v>
      </c>
      <c r="T87" s="37">
        <f t="shared" si="14"/>
        <v>48.400000000000006</v>
      </c>
      <c r="U87" s="58">
        <v>8708299090</v>
      </c>
      <c r="V87" s="55">
        <v>4.4999999999999998E-2</v>
      </c>
      <c r="W87" s="94" t="s">
        <v>574</v>
      </c>
      <c r="X87" s="94">
        <v>8.99</v>
      </c>
      <c r="Y87" s="95">
        <v>0.2</v>
      </c>
      <c r="Z87" s="92" t="s">
        <v>251</v>
      </c>
    </row>
    <row r="88" spans="1:26" ht="18" customHeight="1">
      <c r="A88" s="15">
        <v>86</v>
      </c>
      <c r="B88" s="340"/>
      <c r="C88" s="26" t="s">
        <v>252</v>
      </c>
      <c r="D88" s="16" t="s">
        <v>538</v>
      </c>
      <c r="E88" s="22" t="s">
        <v>253</v>
      </c>
      <c r="F88" s="19" t="s">
        <v>41</v>
      </c>
      <c r="G88" s="68" t="s">
        <v>543</v>
      </c>
      <c r="H88" s="19" t="s">
        <v>41</v>
      </c>
      <c r="I88" s="81" t="s">
        <v>575</v>
      </c>
      <c r="J88" s="26">
        <v>10</v>
      </c>
      <c r="K88" s="365"/>
      <c r="L88" s="300">
        <v>6.6000000000000005</v>
      </c>
      <c r="M88" s="300">
        <v>8.18</v>
      </c>
      <c r="N88" s="153">
        <f t="shared" si="10"/>
        <v>8.6000000000000014</v>
      </c>
      <c r="O88" s="153">
        <f t="shared" si="11"/>
        <v>8.1000000000000014</v>
      </c>
      <c r="P88" s="153">
        <f t="shared" si="12"/>
        <v>7.6000000000000005</v>
      </c>
      <c r="Q88" s="153">
        <f t="shared" si="13"/>
        <v>7.1000000000000005</v>
      </c>
      <c r="R88" s="340"/>
      <c r="S88" s="37">
        <v>2.2000000000000002</v>
      </c>
      <c r="T88" s="37">
        <f t="shared" si="14"/>
        <v>22</v>
      </c>
      <c r="U88" s="58">
        <v>8714949090</v>
      </c>
      <c r="V88" s="55">
        <v>4.7E-2</v>
      </c>
      <c r="W88" s="94" t="s">
        <v>576</v>
      </c>
      <c r="X88" s="94">
        <v>28.45</v>
      </c>
      <c r="Y88" s="95">
        <v>0.66</v>
      </c>
      <c r="Z88" s="92" t="s">
        <v>255</v>
      </c>
    </row>
    <row r="89" spans="1:26" ht="18" customHeight="1">
      <c r="A89" s="15">
        <v>87</v>
      </c>
      <c r="B89" s="340"/>
      <c r="C89" s="69" t="s">
        <v>256</v>
      </c>
      <c r="D89" s="71" t="s">
        <v>570</v>
      </c>
      <c r="E89" s="72" t="s">
        <v>571</v>
      </c>
      <c r="F89" s="19" t="s">
        <v>41</v>
      </c>
      <c r="G89" s="69" t="s">
        <v>258</v>
      </c>
      <c r="H89" s="19" t="s">
        <v>41</v>
      </c>
      <c r="I89" s="83" t="s">
        <v>577</v>
      </c>
      <c r="J89" s="26">
        <v>3</v>
      </c>
      <c r="K89" s="365"/>
      <c r="L89" s="300">
        <v>0.60000000000000009</v>
      </c>
      <c r="M89" s="300">
        <v>2.1800000000000002</v>
      </c>
      <c r="N89" s="153">
        <f t="shared" si="10"/>
        <v>2.6</v>
      </c>
      <c r="O89" s="153">
        <f t="shared" si="11"/>
        <v>2.1</v>
      </c>
      <c r="P89" s="153">
        <f t="shared" si="12"/>
        <v>1.6</v>
      </c>
      <c r="Q89" s="153">
        <f t="shared" si="13"/>
        <v>1.1000000000000001</v>
      </c>
      <c r="R89" s="340"/>
      <c r="S89" s="37">
        <v>2.2000000000000002</v>
      </c>
      <c r="T89" s="37">
        <f t="shared" si="14"/>
        <v>6.6000000000000005</v>
      </c>
      <c r="U89" s="58">
        <v>8708299090</v>
      </c>
      <c r="V89" s="55">
        <v>4.4999999999999998E-2</v>
      </c>
      <c r="W89" s="94" t="s">
        <v>578</v>
      </c>
      <c r="X89" s="94">
        <v>8.99</v>
      </c>
      <c r="Y89" s="95">
        <v>0.2</v>
      </c>
      <c r="Z89" s="92" t="s">
        <v>260</v>
      </c>
    </row>
    <row r="90" spans="1:26" ht="18" customHeight="1">
      <c r="A90" s="15">
        <v>88</v>
      </c>
      <c r="B90" s="340" t="s">
        <v>579</v>
      </c>
      <c r="C90" s="26" t="s">
        <v>262</v>
      </c>
      <c r="D90" s="16" t="s">
        <v>580</v>
      </c>
      <c r="E90" s="22" t="s">
        <v>263</v>
      </c>
      <c r="F90" s="19" t="s">
        <v>41</v>
      </c>
      <c r="G90" s="68" t="s">
        <v>499</v>
      </c>
      <c r="H90" s="19" t="s">
        <v>41</v>
      </c>
      <c r="I90" s="84" t="s">
        <v>581</v>
      </c>
      <c r="J90" s="26">
        <v>5</v>
      </c>
      <c r="K90" s="365">
        <v>22.4</v>
      </c>
      <c r="L90" s="300">
        <v>1.35</v>
      </c>
      <c r="M90" s="300">
        <v>2.93</v>
      </c>
      <c r="N90" s="153">
        <f t="shared" si="10"/>
        <v>3.35</v>
      </c>
      <c r="O90" s="153">
        <f t="shared" si="11"/>
        <v>2.85</v>
      </c>
      <c r="P90" s="153">
        <f t="shared" si="12"/>
        <v>2.35</v>
      </c>
      <c r="Q90" s="153">
        <f t="shared" si="13"/>
        <v>1.85</v>
      </c>
      <c r="R90" s="339">
        <v>1</v>
      </c>
      <c r="S90" s="37">
        <v>0.7</v>
      </c>
      <c r="T90" s="37">
        <f t="shared" si="14"/>
        <v>3.5</v>
      </c>
      <c r="U90" s="58">
        <v>8414208090</v>
      </c>
      <c r="V90" s="55">
        <v>2.1999999999999999E-2</v>
      </c>
      <c r="W90" s="96" t="s">
        <v>582</v>
      </c>
      <c r="X90" s="96">
        <v>6.99</v>
      </c>
      <c r="Y90" s="97">
        <v>0.27</v>
      </c>
      <c r="Z90" s="98" t="s">
        <v>265</v>
      </c>
    </row>
    <row r="91" spans="1:26" ht="18" customHeight="1">
      <c r="A91" s="15">
        <v>89</v>
      </c>
      <c r="B91" s="340"/>
      <c r="C91" s="26" t="s">
        <v>266</v>
      </c>
      <c r="D91" s="16" t="s">
        <v>583</v>
      </c>
      <c r="E91" s="22" t="s">
        <v>267</v>
      </c>
      <c r="F91" s="19" t="s">
        <v>41</v>
      </c>
      <c r="G91" s="68" t="s">
        <v>479</v>
      </c>
      <c r="H91" s="19" t="s">
        <v>41</v>
      </c>
      <c r="I91" s="84" t="s">
        <v>472</v>
      </c>
      <c r="J91" s="26">
        <v>10</v>
      </c>
      <c r="K91" s="365"/>
      <c r="L91" s="300">
        <v>4.6000000000000005</v>
      </c>
      <c r="M91" s="300">
        <v>6.18</v>
      </c>
      <c r="N91" s="153">
        <f t="shared" si="10"/>
        <v>6.6000000000000005</v>
      </c>
      <c r="O91" s="153">
        <f t="shared" si="11"/>
        <v>6.1000000000000005</v>
      </c>
      <c r="P91" s="153">
        <f t="shared" si="12"/>
        <v>5.6000000000000005</v>
      </c>
      <c r="Q91" s="153">
        <f t="shared" si="13"/>
        <v>5.1000000000000005</v>
      </c>
      <c r="R91" s="339"/>
      <c r="S91" s="37">
        <v>0.7</v>
      </c>
      <c r="T91" s="37">
        <f t="shared" si="14"/>
        <v>7</v>
      </c>
      <c r="U91" s="58">
        <v>8714109090</v>
      </c>
      <c r="V91" s="55">
        <v>3.6999999999999998E-2</v>
      </c>
      <c r="W91" s="96" t="s">
        <v>584</v>
      </c>
      <c r="X91" s="96">
        <v>13.99</v>
      </c>
      <c r="Y91" s="97">
        <v>0.46</v>
      </c>
      <c r="Z91" s="98" t="s">
        <v>268</v>
      </c>
    </row>
    <row r="92" spans="1:26" ht="18" customHeight="1">
      <c r="A92" s="15">
        <v>90</v>
      </c>
      <c r="B92" s="340" t="s">
        <v>585</v>
      </c>
      <c r="C92" s="26" t="s">
        <v>270</v>
      </c>
      <c r="D92" s="16" t="s">
        <v>586</v>
      </c>
      <c r="E92" s="22" t="s">
        <v>587</v>
      </c>
      <c r="F92" s="19" t="s">
        <v>41</v>
      </c>
      <c r="G92" s="68" t="s">
        <v>475</v>
      </c>
      <c r="H92" s="19" t="s">
        <v>41</v>
      </c>
      <c r="I92" s="81" t="s">
        <v>476</v>
      </c>
      <c r="J92" s="26">
        <v>32</v>
      </c>
      <c r="K92" s="366">
        <v>14.3</v>
      </c>
      <c r="L92" s="304">
        <v>13.44</v>
      </c>
      <c r="M92" s="304">
        <v>15.02</v>
      </c>
      <c r="N92" s="153">
        <f t="shared" si="10"/>
        <v>15.44</v>
      </c>
      <c r="O92" s="153">
        <f t="shared" si="11"/>
        <v>14.94</v>
      </c>
      <c r="P92" s="153">
        <f t="shared" si="12"/>
        <v>14.44</v>
      </c>
      <c r="Q92" s="153">
        <f t="shared" si="13"/>
        <v>13.94</v>
      </c>
      <c r="R92" s="339">
        <v>1</v>
      </c>
      <c r="S92" s="37">
        <v>1.5</v>
      </c>
      <c r="T92" s="37">
        <f t="shared" si="14"/>
        <v>48</v>
      </c>
      <c r="U92" s="58">
        <v>3924900090</v>
      </c>
      <c r="V92" s="55">
        <v>6.5000000000000002E-2</v>
      </c>
      <c r="W92" s="94" t="s">
        <v>588</v>
      </c>
      <c r="X92" s="94"/>
      <c r="Y92" s="94">
        <v>0.42</v>
      </c>
      <c r="Z92" s="99" t="s">
        <v>272</v>
      </c>
    </row>
    <row r="93" spans="1:26" ht="18" customHeight="1">
      <c r="A93" s="15">
        <v>91</v>
      </c>
      <c r="B93" s="340"/>
      <c r="C93" s="26" t="s">
        <v>273</v>
      </c>
      <c r="D93" s="16" t="s">
        <v>589</v>
      </c>
      <c r="E93" s="22" t="s">
        <v>274</v>
      </c>
      <c r="F93" s="19" t="s">
        <v>41</v>
      </c>
      <c r="G93" s="68" t="s">
        <v>487</v>
      </c>
      <c r="H93" s="19" t="s">
        <v>41</v>
      </c>
      <c r="I93" s="81" t="s">
        <v>484</v>
      </c>
      <c r="J93" s="26">
        <v>15</v>
      </c>
      <c r="K93" s="366"/>
      <c r="L93" s="304">
        <v>2.4</v>
      </c>
      <c r="M93" s="304">
        <v>3.98</v>
      </c>
      <c r="N93" s="153">
        <f t="shared" si="10"/>
        <v>4.4000000000000004</v>
      </c>
      <c r="O93" s="153">
        <f t="shared" si="11"/>
        <v>3.9</v>
      </c>
      <c r="P93" s="153">
        <f t="shared" si="12"/>
        <v>3.4</v>
      </c>
      <c r="Q93" s="153">
        <f t="shared" si="13"/>
        <v>2.9</v>
      </c>
      <c r="R93" s="339"/>
      <c r="S93" s="37">
        <v>1.5</v>
      </c>
      <c r="T93" s="37">
        <f t="shared" si="14"/>
        <v>22.5</v>
      </c>
      <c r="U93" s="58">
        <v>6307909810</v>
      </c>
      <c r="V93" s="55">
        <v>6.3E-2</v>
      </c>
      <c r="W93" s="94" t="s">
        <v>590</v>
      </c>
      <c r="X93" s="94"/>
      <c r="Y93" s="94">
        <v>0.16</v>
      </c>
      <c r="Z93" s="99" t="s">
        <v>275</v>
      </c>
    </row>
    <row r="94" spans="1:26" ht="18" customHeight="1">
      <c r="A94" s="15">
        <v>92</v>
      </c>
      <c r="B94" s="340" t="s">
        <v>591</v>
      </c>
      <c r="C94" s="26" t="s">
        <v>270</v>
      </c>
      <c r="D94" s="16" t="s">
        <v>592</v>
      </c>
      <c r="E94" s="22" t="s">
        <v>587</v>
      </c>
      <c r="F94" s="19" t="s">
        <v>41</v>
      </c>
      <c r="G94" s="68" t="s">
        <v>475</v>
      </c>
      <c r="H94" s="19" t="s">
        <v>41</v>
      </c>
      <c r="I94" s="81" t="s">
        <v>476</v>
      </c>
      <c r="J94" s="26">
        <v>3</v>
      </c>
      <c r="K94" s="366">
        <v>20.6</v>
      </c>
      <c r="L94" s="304">
        <v>1.26</v>
      </c>
      <c r="M94" s="304">
        <v>2.84</v>
      </c>
      <c r="N94" s="153">
        <f t="shared" si="10"/>
        <v>3.26</v>
      </c>
      <c r="O94" s="153">
        <f t="shared" si="11"/>
        <v>2.76</v>
      </c>
      <c r="P94" s="153">
        <f t="shared" si="12"/>
        <v>2.2599999999999998</v>
      </c>
      <c r="Q94" s="153">
        <f t="shared" si="13"/>
        <v>1.76</v>
      </c>
      <c r="R94" s="339">
        <v>1</v>
      </c>
      <c r="S94" s="37">
        <v>1.5</v>
      </c>
      <c r="T94" s="37">
        <f t="shared" si="14"/>
        <v>4.5</v>
      </c>
      <c r="U94" s="58">
        <v>3924900090</v>
      </c>
      <c r="V94" s="55">
        <v>6.5000000000000002E-2</v>
      </c>
      <c r="W94" s="94" t="s">
        <v>588</v>
      </c>
      <c r="X94" s="94"/>
      <c r="Y94" s="94">
        <v>0.42</v>
      </c>
      <c r="Z94" s="26" t="s">
        <v>272</v>
      </c>
    </row>
    <row r="95" spans="1:26" ht="18" customHeight="1">
      <c r="A95" s="15">
        <v>93</v>
      </c>
      <c r="B95" s="340"/>
      <c r="C95" s="26" t="s">
        <v>277</v>
      </c>
      <c r="D95" s="16" t="s">
        <v>593</v>
      </c>
      <c r="E95" s="15" t="s">
        <v>594</v>
      </c>
      <c r="F95" s="19" t="s">
        <v>41</v>
      </c>
      <c r="G95" s="68" t="s">
        <v>595</v>
      </c>
      <c r="H95" s="19" t="s">
        <v>41</v>
      </c>
      <c r="I95" s="81" t="s">
        <v>596</v>
      </c>
      <c r="J95" s="26">
        <v>33</v>
      </c>
      <c r="K95" s="366"/>
      <c r="L95" s="304">
        <v>15.51</v>
      </c>
      <c r="M95" s="304">
        <v>17.09</v>
      </c>
      <c r="N95" s="153">
        <f t="shared" si="10"/>
        <v>17.509999999999998</v>
      </c>
      <c r="O95" s="153">
        <f t="shared" si="11"/>
        <v>17.009999999999998</v>
      </c>
      <c r="P95" s="153">
        <f t="shared" si="12"/>
        <v>16.509999999999998</v>
      </c>
      <c r="Q95" s="153">
        <f t="shared" si="13"/>
        <v>16.009999999999998</v>
      </c>
      <c r="R95" s="339"/>
      <c r="S95" s="37">
        <v>1.5</v>
      </c>
      <c r="T95" s="37">
        <f t="shared" si="14"/>
        <v>49.5</v>
      </c>
      <c r="U95" s="58">
        <v>8539500000</v>
      </c>
      <c r="V95" s="55">
        <v>3.6999999999999998E-2</v>
      </c>
      <c r="W95" s="94" t="s">
        <v>597</v>
      </c>
      <c r="X95" s="94">
        <v>16.989999999999998</v>
      </c>
      <c r="Y95" s="94">
        <v>0.47</v>
      </c>
      <c r="Z95" s="99" t="s">
        <v>281</v>
      </c>
    </row>
    <row r="96" spans="1:26" ht="18" customHeight="1">
      <c r="A96" s="15">
        <v>94</v>
      </c>
      <c r="B96" s="340"/>
      <c r="C96" s="69" t="s">
        <v>282</v>
      </c>
      <c r="D96" s="16" t="s">
        <v>598</v>
      </c>
      <c r="E96" s="22" t="s">
        <v>283</v>
      </c>
      <c r="F96" s="19" t="s">
        <v>41</v>
      </c>
      <c r="G96" s="70" t="s">
        <v>599</v>
      </c>
      <c r="H96" s="19" t="s">
        <v>41</v>
      </c>
      <c r="I96" s="82" t="s">
        <v>600</v>
      </c>
      <c r="J96" s="26">
        <v>15</v>
      </c>
      <c r="K96" s="366"/>
      <c r="L96" s="304">
        <v>1.05</v>
      </c>
      <c r="M96" s="304">
        <v>2.63</v>
      </c>
      <c r="N96" s="153">
        <f t="shared" si="10"/>
        <v>3.05</v>
      </c>
      <c r="O96" s="153">
        <f t="shared" si="11"/>
        <v>2.5499999999999998</v>
      </c>
      <c r="P96" s="153">
        <f t="shared" si="12"/>
        <v>2.0499999999999998</v>
      </c>
      <c r="Q96" s="153">
        <f t="shared" si="13"/>
        <v>1.55</v>
      </c>
      <c r="R96" s="339"/>
      <c r="S96" s="37">
        <v>1.5</v>
      </c>
      <c r="T96" s="37">
        <f t="shared" si="14"/>
        <v>22.5</v>
      </c>
      <c r="U96" s="58">
        <v>6307909899</v>
      </c>
      <c r="V96" s="55">
        <v>6.3E-2</v>
      </c>
      <c r="W96" s="40" t="s">
        <v>601</v>
      </c>
      <c r="X96" s="40">
        <v>11.99</v>
      </c>
      <c r="Y96" s="40">
        <v>7.0000000000000007E-2</v>
      </c>
      <c r="Z96" s="99" t="s">
        <v>286</v>
      </c>
    </row>
    <row r="97" spans="1:26" ht="18" customHeight="1">
      <c r="A97" s="15">
        <v>95</v>
      </c>
      <c r="B97" s="340"/>
      <c r="C97" s="69" t="s">
        <v>287</v>
      </c>
      <c r="D97" s="16" t="s">
        <v>602</v>
      </c>
      <c r="E97" s="22" t="s">
        <v>288</v>
      </c>
      <c r="F97" s="19" t="s">
        <v>41</v>
      </c>
      <c r="G97" s="70" t="s">
        <v>475</v>
      </c>
      <c r="H97" s="19" t="s">
        <v>41</v>
      </c>
      <c r="I97" s="82" t="s">
        <v>603</v>
      </c>
      <c r="J97" s="26">
        <v>20</v>
      </c>
      <c r="K97" s="366"/>
      <c r="L97" s="304">
        <v>3.5999999999999996</v>
      </c>
      <c r="M97" s="304">
        <v>5.18</v>
      </c>
      <c r="N97" s="153">
        <f t="shared" si="10"/>
        <v>5.6</v>
      </c>
      <c r="O97" s="153">
        <f t="shared" si="11"/>
        <v>5.0999999999999996</v>
      </c>
      <c r="P97" s="153">
        <f t="shared" si="12"/>
        <v>4.5999999999999996</v>
      </c>
      <c r="Q97" s="153">
        <f t="shared" si="13"/>
        <v>4.0999999999999996</v>
      </c>
      <c r="R97" s="339"/>
      <c r="S97" s="37">
        <v>1.5</v>
      </c>
      <c r="T97" s="37">
        <f t="shared" si="14"/>
        <v>30</v>
      </c>
      <c r="U97" s="58">
        <v>9603909900</v>
      </c>
      <c r="V97" s="55">
        <v>3.6999999999999998E-2</v>
      </c>
      <c r="W97" s="40" t="s">
        <v>604</v>
      </c>
      <c r="X97" s="40">
        <v>4.54</v>
      </c>
      <c r="Y97" s="40">
        <v>0.18</v>
      </c>
      <c r="Z97" s="99" t="s">
        <v>291</v>
      </c>
    </row>
    <row r="98" spans="1:26" ht="18" customHeight="1">
      <c r="A98" s="15">
        <v>96</v>
      </c>
      <c r="B98" s="340"/>
      <c r="C98" s="69" t="s">
        <v>292</v>
      </c>
      <c r="D98" s="16" t="s">
        <v>605</v>
      </c>
      <c r="E98" s="22" t="s">
        <v>293</v>
      </c>
      <c r="F98" s="19" t="s">
        <v>41</v>
      </c>
      <c r="G98" s="70" t="s">
        <v>606</v>
      </c>
      <c r="H98" s="19" t="s">
        <v>41</v>
      </c>
      <c r="I98" s="82" t="s">
        <v>607</v>
      </c>
      <c r="J98" s="26">
        <v>20</v>
      </c>
      <c r="K98" s="366"/>
      <c r="L98" s="304">
        <v>19.8</v>
      </c>
      <c r="M98" s="304">
        <v>21.38</v>
      </c>
      <c r="N98" s="153">
        <f t="shared" si="10"/>
        <v>21.8</v>
      </c>
      <c r="O98" s="153">
        <f t="shared" si="11"/>
        <v>21.3</v>
      </c>
      <c r="P98" s="153">
        <f t="shared" si="12"/>
        <v>20.8</v>
      </c>
      <c r="Q98" s="153">
        <f t="shared" si="13"/>
        <v>20.3</v>
      </c>
      <c r="R98" s="339"/>
      <c r="S98" s="37">
        <v>1.5</v>
      </c>
      <c r="T98" s="37">
        <f t="shared" si="14"/>
        <v>30</v>
      </c>
      <c r="U98" s="58">
        <v>7323930090</v>
      </c>
      <c r="V98" s="55">
        <v>3.2000000000000001E-2</v>
      </c>
      <c r="W98" s="40" t="s">
        <v>608</v>
      </c>
      <c r="X98" s="40">
        <v>0.26</v>
      </c>
      <c r="Y98" s="40">
        <v>0.99</v>
      </c>
      <c r="Z98" s="99" t="s">
        <v>296</v>
      </c>
    </row>
    <row r="99" spans="1:26" ht="18" customHeight="1">
      <c r="A99" s="15">
        <v>97</v>
      </c>
      <c r="B99" s="340"/>
      <c r="C99" s="69" t="s">
        <v>297</v>
      </c>
      <c r="D99" s="16" t="s">
        <v>609</v>
      </c>
      <c r="E99" s="22" t="s">
        <v>298</v>
      </c>
      <c r="F99" s="19" t="s">
        <v>41</v>
      </c>
      <c r="G99" s="70" t="s">
        <v>536</v>
      </c>
      <c r="H99" s="19" t="s">
        <v>41</v>
      </c>
      <c r="I99" s="82" t="s">
        <v>472</v>
      </c>
      <c r="J99" s="26">
        <v>20</v>
      </c>
      <c r="K99" s="366"/>
      <c r="L99" s="304">
        <v>0.3</v>
      </c>
      <c r="M99" s="304">
        <v>1.88</v>
      </c>
      <c r="N99" s="153">
        <f t="shared" ref="N99:N130" si="15">J99*Y99+2</f>
        <v>2.2999999999999998</v>
      </c>
      <c r="O99" s="153">
        <f t="shared" ref="O99:O130" si="16">J99*Y99+1.5</f>
        <v>1.8</v>
      </c>
      <c r="P99" s="153">
        <f t="shared" ref="P99:P130" si="17">J99*Y99+1</f>
        <v>1.3</v>
      </c>
      <c r="Q99" s="153">
        <f t="shared" ref="Q99:Q130" si="18">J99*Y99+0.5</f>
        <v>0.8</v>
      </c>
      <c r="R99" s="339"/>
      <c r="S99" s="37">
        <v>1.5</v>
      </c>
      <c r="T99" s="37">
        <f t="shared" ref="T99:T130" si="19">S99*J99</f>
        <v>30</v>
      </c>
      <c r="U99" s="58">
        <v>3924900090</v>
      </c>
      <c r="V99" s="55">
        <v>6.5000000000000002E-2</v>
      </c>
      <c r="W99" s="40" t="s">
        <v>610</v>
      </c>
      <c r="X99" s="40">
        <v>1.92</v>
      </c>
      <c r="Y99" s="40">
        <v>1.4999999999999999E-2</v>
      </c>
      <c r="Z99" s="99" t="s">
        <v>299</v>
      </c>
    </row>
    <row r="100" spans="1:26" ht="18" customHeight="1">
      <c r="A100" s="15">
        <v>98</v>
      </c>
      <c r="B100" s="340"/>
      <c r="C100" s="69" t="s">
        <v>300</v>
      </c>
      <c r="D100" s="16" t="s">
        <v>611</v>
      </c>
      <c r="E100" s="22" t="s">
        <v>301</v>
      </c>
      <c r="F100" s="19" t="s">
        <v>41</v>
      </c>
      <c r="G100" s="70" t="s">
        <v>515</v>
      </c>
      <c r="H100" s="19" t="s">
        <v>41</v>
      </c>
      <c r="I100" s="82" t="s">
        <v>484</v>
      </c>
      <c r="J100" s="26">
        <v>22</v>
      </c>
      <c r="K100" s="366"/>
      <c r="L100" s="304">
        <v>4.4000000000000004</v>
      </c>
      <c r="M100" s="304">
        <v>5.98</v>
      </c>
      <c r="N100" s="153">
        <f t="shared" si="15"/>
        <v>6.4</v>
      </c>
      <c r="O100" s="153">
        <f t="shared" si="16"/>
        <v>5.9</v>
      </c>
      <c r="P100" s="153">
        <f t="shared" si="17"/>
        <v>5.4</v>
      </c>
      <c r="Q100" s="153">
        <f t="shared" si="18"/>
        <v>4.9000000000000004</v>
      </c>
      <c r="R100" s="339"/>
      <c r="S100" s="37">
        <v>1.5</v>
      </c>
      <c r="T100" s="37">
        <f t="shared" si="19"/>
        <v>33</v>
      </c>
      <c r="U100" s="58">
        <v>6406909010</v>
      </c>
      <c r="V100" s="55">
        <v>0.03</v>
      </c>
      <c r="W100" s="40" t="s">
        <v>612</v>
      </c>
      <c r="X100" s="40">
        <v>24.29</v>
      </c>
      <c r="Y100" s="40">
        <v>0.2</v>
      </c>
      <c r="Z100" s="99" t="s">
        <v>304</v>
      </c>
    </row>
    <row r="101" spans="1:26" ht="18" customHeight="1">
      <c r="A101" s="15">
        <v>99</v>
      </c>
      <c r="B101" s="340" t="s">
        <v>613</v>
      </c>
      <c r="C101" s="69" t="s">
        <v>306</v>
      </c>
      <c r="D101" s="16" t="s">
        <v>614</v>
      </c>
      <c r="E101" s="22" t="s">
        <v>307</v>
      </c>
      <c r="F101" s="19" t="s">
        <v>41</v>
      </c>
      <c r="G101" s="70" t="s">
        <v>615</v>
      </c>
      <c r="H101" s="19" t="s">
        <v>41</v>
      </c>
      <c r="I101" s="82" t="s">
        <v>546</v>
      </c>
      <c r="J101" s="26">
        <v>10</v>
      </c>
      <c r="K101" s="366">
        <v>16</v>
      </c>
      <c r="L101" s="304">
        <v>1</v>
      </c>
      <c r="M101" s="304">
        <v>2.58</v>
      </c>
      <c r="N101" s="153">
        <f t="shared" si="15"/>
        <v>3</v>
      </c>
      <c r="O101" s="153">
        <f t="shared" si="16"/>
        <v>2.5</v>
      </c>
      <c r="P101" s="153">
        <f t="shared" si="17"/>
        <v>2</v>
      </c>
      <c r="Q101" s="153">
        <f t="shared" si="18"/>
        <v>1.5</v>
      </c>
      <c r="R101" s="339">
        <v>1</v>
      </c>
      <c r="S101" s="37">
        <v>1.5</v>
      </c>
      <c r="T101" s="37">
        <f t="shared" si="19"/>
        <v>15</v>
      </c>
      <c r="U101" s="58">
        <v>6302599090</v>
      </c>
      <c r="V101" s="55">
        <v>0.12</v>
      </c>
      <c r="W101" s="158" t="s">
        <v>616</v>
      </c>
      <c r="X101" s="158">
        <v>0.28000000000000003</v>
      </c>
      <c r="Y101" s="158">
        <v>0.1</v>
      </c>
      <c r="Z101" s="99" t="s">
        <v>309</v>
      </c>
    </row>
    <row r="102" spans="1:26" ht="18" customHeight="1">
      <c r="A102" s="15">
        <v>100</v>
      </c>
      <c r="B102" s="340"/>
      <c r="C102" s="69" t="s">
        <v>310</v>
      </c>
      <c r="D102" s="16" t="s">
        <v>617</v>
      </c>
      <c r="E102" s="22" t="s">
        <v>311</v>
      </c>
      <c r="F102" s="19" t="s">
        <v>41</v>
      </c>
      <c r="G102" s="70" t="s">
        <v>501</v>
      </c>
      <c r="H102" s="19" t="s">
        <v>41</v>
      </c>
      <c r="I102" s="82" t="s">
        <v>484</v>
      </c>
      <c r="J102" s="26">
        <v>20</v>
      </c>
      <c r="K102" s="366"/>
      <c r="L102" s="304">
        <v>4</v>
      </c>
      <c r="M102" s="304">
        <v>5.58</v>
      </c>
      <c r="N102" s="153">
        <f t="shared" si="15"/>
        <v>6</v>
      </c>
      <c r="O102" s="153">
        <f t="shared" si="16"/>
        <v>5.5</v>
      </c>
      <c r="P102" s="153">
        <f t="shared" si="17"/>
        <v>5</v>
      </c>
      <c r="Q102" s="153">
        <f t="shared" si="18"/>
        <v>4.5</v>
      </c>
      <c r="R102" s="339"/>
      <c r="S102" s="37">
        <v>1.5</v>
      </c>
      <c r="T102" s="37">
        <f t="shared" si="19"/>
        <v>30</v>
      </c>
      <c r="U102" s="58">
        <v>9021109000</v>
      </c>
      <c r="V102" s="55">
        <v>0</v>
      </c>
      <c r="W102" s="40" t="s">
        <v>502</v>
      </c>
      <c r="X102" s="40">
        <v>11.99</v>
      </c>
      <c r="Y102" s="40">
        <v>0.2</v>
      </c>
      <c r="Z102" s="99" t="s">
        <v>140</v>
      </c>
    </row>
    <row r="103" spans="1:26" ht="18" customHeight="1">
      <c r="A103" s="15">
        <v>101</v>
      </c>
      <c r="B103" s="340"/>
      <c r="C103" s="69" t="s">
        <v>300</v>
      </c>
      <c r="D103" s="16" t="s">
        <v>611</v>
      </c>
      <c r="E103" s="22" t="s">
        <v>301</v>
      </c>
      <c r="F103" s="19" t="s">
        <v>41</v>
      </c>
      <c r="G103" s="70" t="s">
        <v>515</v>
      </c>
      <c r="H103" s="19" t="s">
        <v>41</v>
      </c>
      <c r="I103" s="82" t="s">
        <v>484</v>
      </c>
      <c r="J103" s="26">
        <v>38</v>
      </c>
      <c r="K103" s="366"/>
      <c r="L103" s="304">
        <v>7.6000000000000005</v>
      </c>
      <c r="M103" s="304">
        <v>9.18</v>
      </c>
      <c r="N103" s="153">
        <f t="shared" si="15"/>
        <v>9.6000000000000014</v>
      </c>
      <c r="O103" s="153">
        <f t="shared" si="16"/>
        <v>9.1000000000000014</v>
      </c>
      <c r="P103" s="153">
        <f t="shared" si="17"/>
        <v>8.6000000000000014</v>
      </c>
      <c r="Q103" s="153">
        <f t="shared" si="18"/>
        <v>8.1000000000000014</v>
      </c>
      <c r="R103" s="339"/>
      <c r="S103" s="37">
        <v>1.5</v>
      </c>
      <c r="T103" s="37">
        <f t="shared" si="19"/>
        <v>57</v>
      </c>
      <c r="U103" s="58">
        <v>6406909010</v>
      </c>
      <c r="V103" s="55">
        <v>0.03</v>
      </c>
      <c r="W103" s="40" t="s">
        <v>612</v>
      </c>
      <c r="X103" s="40">
        <v>24.29</v>
      </c>
      <c r="Y103" s="40">
        <v>0.2</v>
      </c>
      <c r="Z103" s="26" t="s">
        <v>304</v>
      </c>
    </row>
    <row r="104" spans="1:26" ht="18" customHeight="1">
      <c r="A104" s="15">
        <v>102</v>
      </c>
      <c r="B104" s="340"/>
      <c r="C104" s="69" t="s">
        <v>313</v>
      </c>
      <c r="D104" s="16" t="s">
        <v>618</v>
      </c>
      <c r="E104" s="22" t="s">
        <v>314</v>
      </c>
      <c r="F104" s="19" t="s">
        <v>41</v>
      </c>
      <c r="G104" s="70" t="s">
        <v>619</v>
      </c>
      <c r="H104" s="19" t="s">
        <v>41</v>
      </c>
      <c r="I104" s="82" t="s">
        <v>484</v>
      </c>
      <c r="J104" s="26">
        <v>30</v>
      </c>
      <c r="K104" s="366"/>
      <c r="L104" s="304">
        <v>3</v>
      </c>
      <c r="M104" s="304">
        <v>4.58</v>
      </c>
      <c r="N104" s="153">
        <f t="shared" si="15"/>
        <v>5</v>
      </c>
      <c r="O104" s="153">
        <f t="shared" si="16"/>
        <v>4.5</v>
      </c>
      <c r="P104" s="153">
        <f t="shared" si="17"/>
        <v>4</v>
      </c>
      <c r="Q104" s="153">
        <f t="shared" si="18"/>
        <v>3.5</v>
      </c>
      <c r="R104" s="339"/>
      <c r="S104" s="37">
        <v>1.5</v>
      </c>
      <c r="T104" s="37">
        <f t="shared" si="19"/>
        <v>45</v>
      </c>
      <c r="U104" s="58">
        <v>9506919000</v>
      </c>
      <c r="V104" s="55">
        <v>2.7E-2</v>
      </c>
      <c r="W104" s="158" t="s">
        <v>620</v>
      </c>
      <c r="X104" s="158">
        <v>12.99</v>
      </c>
      <c r="Y104" s="158">
        <v>0.1</v>
      </c>
      <c r="Z104" s="99" t="s">
        <v>316</v>
      </c>
    </row>
    <row r="105" spans="1:26" ht="18" customHeight="1">
      <c r="A105" s="15">
        <v>103</v>
      </c>
      <c r="B105" s="340"/>
      <c r="C105" s="69" t="s">
        <v>282</v>
      </c>
      <c r="D105" s="16" t="s">
        <v>598</v>
      </c>
      <c r="E105" s="22" t="s">
        <v>283</v>
      </c>
      <c r="F105" s="19" t="s">
        <v>41</v>
      </c>
      <c r="G105" s="70" t="s">
        <v>621</v>
      </c>
      <c r="H105" s="19" t="s">
        <v>41</v>
      </c>
      <c r="I105" s="82" t="s">
        <v>622</v>
      </c>
      <c r="J105" s="26">
        <v>13</v>
      </c>
      <c r="K105" s="366"/>
      <c r="L105" s="304">
        <v>0.91000000000000014</v>
      </c>
      <c r="M105" s="304">
        <v>2.4900000000000002</v>
      </c>
      <c r="N105" s="153">
        <f t="shared" si="15"/>
        <v>2.91</v>
      </c>
      <c r="O105" s="153">
        <f t="shared" si="16"/>
        <v>2.41</v>
      </c>
      <c r="P105" s="153">
        <f t="shared" si="17"/>
        <v>1.9100000000000001</v>
      </c>
      <c r="Q105" s="153">
        <f t="shared" si="18"/>
        <v>1.4100000000000001</v>
      </c>
      <c r="R105" s="339"/>
      <c r="S105" s="37">
        <v>1.5</v>
      </c>
      <c r="T105" s="37">
        <f t="shared" si="19"/>
        <v>19.5</v>
      </c>
      <c r="U105" s="58">
        <v>6307909899</v>
      </c>
      <c r="V105" s="55">
        <v>6.3E-2</v>
      </c>
      <c r="W105" s="40" t="s">
        <v>601</v>
      </c>
      <c r="X105" s="40">
        <v>11.99</v>
      </c>
      <c r="Y105" s="40">
        <v>7.0000000000000007E-2</v>
      </c>
      <c r="Z105" s="26" t="s">
        <v>319</v>
      </c>
    </row>
    <row r="106" spans="1:26" ht="18" customHeight="1">
      <c r="A106" s="15">
        <v>104</v>
      </c>
      <c r="B106" s="15" t="s">
        <v>623</v>
      </c>
      <c r="C106" s="16" t="s">
        <v>321</v>
      </c>
      <c r="D106" s="73" t="s">
        <v>624</v>
      </c>
      <c r="E106" s="18" t="s">
        <v>61</v>
      </c>
      <c r="F106" s="19" t="s">
        <v>41</v>
      </c>
      <c r="G106" s="20" t="s">
        <v>625</v>
      </c>
      <c r="H106" s="19" t="s">
        <v>41</v>
      </c>
      <c r="I106" s="38" t="s">
        <v>626</v>
      </c>
      <c r="J106" s="40">
        <v>48</v>
      </c>
      <c r="K106" s="146">
        <v>13.8</v>
      </c>
      <c r="L106" s="297">
        <v>12.96</v>
      </c>
      <c r="M106" s="297">
        <v>14.54</v>
      </c>
      <c r="N106" s="153">
        <f t="shared" si="15"/>
        <v>14.96</v>
      </c>
      <c r="O106" s="153">
        <f t="shared" si="16"/>
        <v>14.46</v>
      </c>
      <c r="P106" s="153">
        <f t="shared" si="17"/>
        <v>13.96</v>
      </c>
      <c r="Q106" s="153">
        <f t="shared" si="18"/>
        <v>13.46</v>
      </c>
      <c r="R106" s="15">
        <v>1</v>
      </c>
      <c r="S106" s="37">
        <v>0.33</v>
      </c>
      <c r="T106" s="37">
        <f t="shared" si="19"/>
        <v>15.84</v>
      </c>
      <c r="U106" s="58">
        <v>8424200000</v>
      </c>
      <c r="V106" s="55">
        <v>1.7000000000000001E-2</v>
      </c>
      <c r="W106" s="100" t="s">
        <v>627</v>
      </c>
      <c r="X106" s="100">
        <v>11.62</v>
      </c>
      <c r="Y106" s="100">
        <v>0.27</v>
      </c>
      <c r="Z106" s="56" t="s">
        <v>325</v>
      </c>
    </row>
    <row r="107" spans="1:26" ht="18" customHeight="1">
      <c r="A107" s="15">
        <v>105</v>
      </c>
      <c r="B107" s="15" t="s">
        <v>628</v>
      </c>
      <c r="C107" s="16" t="s">
        <v>321</v>
      </c>
      <c r="D107" s="73" t="s">
        <v>624</v>
      </c>
      <c r="E107" s="18" t="s">
        <v>61</v>
      </c>
      <c r="F107" s="19" t="s">
        <v>41</v>
      </c>
      <c r="G107" s="20" t="s">
        <v>625</v>
      </c>
      <c r="H107" s="19" t="s">
        <v>41</v>
      </c>
      <c r="I107" s="38" t="s">
        <v>626</v>
      </c>
      <c r="J107" s="40">
        <v>48</v>
      </c>
      <c r="K107" s="146">
        <v>13.8</v>
      </c>
      <c r="L107" s="297">
        <v>12.96</v>
      </c>
      <c r="M107" s="297">
        <v>14.54</v>
      </c>
      <c r="N107" s="153">
        <f t="shared" si="15"/>
        <v>14.96</v>
      </c>
      <c r="O107" s="153">
        <f t="shared" si="16"/>
        <v>14.46</v>
      </c>
      <c r="P107" s="153">
        <f t="shared" si="17"/>
        <v>13.96</v>
      </c>
      <c r="Q107" s="153">
        <f t="shared" si="18"/>
        <v>13.46</v>
      </c>
      <c r="R107" s="15">
        <v>1</v>
      </c>
      <c r="S107" s="37">
        <v>0.33</v>
      </c>
      <c r="T107" s="37">
        <f t="shared" si="19"/>
        <v>15.84</v>
      </c>
      <c r="U107" s="58">
        <v>8424200000</v>
      </c>
      <c r="V107" s="55">
        <v>1.7000000000000001E-2</v>
      </c>
      <c r="W107" s="100" t="s">
        <v>627</v>
      </c>
      <c r="X107" s="100">
        <v>11.62</v>
      </c>
      <c r="Y107" s="100">
        <v>0.27</v>
      </c>
      <c r="Z107" s="57" t="s">
        <v>325</v>
      </c>
    </row>
    <row r="108" spans="1:26" ht="18" customHeight="1">
      <c r="A108" s="15">
        <v>106</v>
      </c>
      <c r="B108" s="15" t="s">
        <v>629</v>
      </c>
      <c r="C108" s="16" t="s">
        <v>321</v>
      </c>
      <c r="D108" s="73" t="s">
        <v>624</v>
      </c>
      <c r="E108" s="18" t="s">
        <v>61</v>
      </c>
      <c r="F108" s="19" t="s">
        <v>41</v>
      </c>
      <c r="G108" s="20" t="s">
        <v>625</v>
      </c>
      <c r="H108" s="19" t="s">
        <v>41</v>
      </c>
      <c r="I108" s="38" t="s">
        <v>626</v>
      </c>
      <c r="J108" s="40">
        <v>48</v>
      </c>
      <c r="K108" s="146">
        <v>13.8</v>
      </c>
      <c r="L108" s="297">
        <v>12.96</v>
      </c>
      <c r="M108" s="297">
        <v>14.54</v>
      </c>
      <c r="N108" s="153">
        <f t="shared" si="15"/>
        <v>14.96</v>
      </c>
      <c r="O108" s="153">
        <f t="shared" si="16"/>
        <v>14.46</v>
      </c>
      <c r="P108" s="153">
        <f t="shared" si="17"/>
        <v>13.96</v>
      </c>
      <c r="Q108" s="153">
        <f t="shared" si="18"/>
        <v>13.46</v>
      </c>
      <c r="R108" s="15">
        <v>1</v>
      </c>
      <c r="S108" s="37">
        <v>0.33</v>
      </c>
      <c r="T108" s="37">
        <f t="shared" si="19"/>
        <v>15.84</v>
      </c>
      <c r="U108" s="58">
        <v>8424200000</v>
      </c>
      <c r="V108" s="55">
        <v>1.7000000000000001E-2</v>
      </c>
      <c r="W108" s="100" t="s">
        <v>627</v>
      </c>
      <c r="X108" s="100">
        <v>11.62</v>
      </c>
      <c r="Y108" s="100">
        <v>0.27</v>
      </c>
      <c r="Z108" s="57" t="s">
        <v>325</v>
      </c>
    </row>
    <row r="109" spans="1:26" ht="18" customHeight="1">
      <c r="A109" s="15">
        <v>107</v>
      </c>
      <c r="B109" s="15" t="s">
        <v>630</v>
      </c>
      <c r="C109" s="16" t="s">
        <v>321</v>
      </c>
      <c r="D109" s="73" t="s">
        <v>624</v>
      </c>
      <c r="E109" s="18" t="s">
        <v>61</v>
      </c>
      <c r="F109" s="19" t="s">
        <v>41</v>
      </c>
      <c r="G109" s="20" t="s">
        <v>625</v>
      </c>
      <c r="H109" s="19" t="s">
        <v>41</v>
      </c>
      <c r="I109" s="38" t="s">
        <v>626</v>
      </c>
      <c r="J109" s="40">
        <v>48</v>
      </c>
      <c r="K109" s="146">
        <v>13.8</v>
      </c>
      <c r="L109" s="297">
        <v>12.96</v>
      </c>
      <c r="M109" s="297">
        <v>14.54</v>
      </c>
      <c r="N109" s="153">
        <f t="shared" si="15"/>
        <v>14.96</v>
      </c>
      <c r="O109" s="153">
        <f t="shared" si="16"/>
        <v>14.46</v>
      </c>
      <c r="P109" s="153">
        <f t="shared" si="17"/>
        <v>13.96</v>
      </c>
      <c r="Q109" s="153">
        <f t="shared" si="18"/>
        <v>13.46</v>
      </c>
      <c r="R109" s="15">
        <v>1</v>
      </c>
      <c r="S109" s="37">
        <v>0.33</v>
      </c>
      <c r="T109" s="37">
        <f t="shared" si="19"/>
        <v>15.84</v>
      </c>
      <c r="U109" s="58">
        <v>8424200000</v>
      </c>
      <c r="V109" s="55">
        <v>1.7000000000000001E-2</v>
      </c>
      <c r="W109" s="100" t="s">
        <v>627</v>
      </c>
      <c r="X109" s="100">
        <v>11.62</v>
      </c>
      <c r="Y109" s="100">
        <v>0.27</v>
      </c>
      <c r="Z109" s="57" t="s">
        <v>325</v>
      </c>
    </row>
    <row r="110" spans="1:26" ht="18" customHeight="1">
      <c r="A110" s="15">
        <v>108</v>
      </c>
      <c r="B110" s="15" t="s">
        <v>631</v>
      </c>
      <c r="C110" s="16" t="s">
        <v>321</v>
      </c>
      <c r="D110" s="73" t="s">
        <v>624</v>
      </c>
      <c r="E110" s="18" t="s">
        <v>61</v>
      </c>
      <c r="F110" s="19" t="s">
        <v>41</v>
      </c>
      <c r="G110" s="20" t="s">
        <v>625</v>
      </c>
      <c r="H110" s="19" t="s">
        <v>41</v>
      </c>
      <c r="I110" s="38" t="s">
        <v>626</v>
      </c>
      <c r="J110" s="40">
        <v>48</v>
      </c>
      <c r="K110" s="146">
        <v>13.8</v>
      </c>
      <c r="L110" s="297">
        <v>12.96</v>
      </c>
      <c r="M110" s="297">
        <v>14.54</v>
      </c>
      <c r="N110" s="153">
        <f t="shared" si="15"/>
        <v>14.96</v>
      </c>
      <c r="O110" s="153">
        <f t="shared" si="16"/>
        <v>14.46</v>
      </c>
      <c r="P110" s="153">
        <f t="shared" si="17"/>
        <v>13.96</v>
      </c>
      <c r="Q110" s="153">
        <f t="shared" si="18"/>
        <v>13.46</v>
      </c>
      <c r="R110" s="15">
        <v>1</v>
      </c>
      <c r="S110" s="37">
        <v>0.33</v>
      </c>
      <c r="T110" s="37">
        <f t="shared" si="19"/>
        <v>15.84</v>
      </c>
      <c r="U110" s="58">
        <v>8424200000</v>
      </c>
      <c r="V110" s="55">
        <v>1.7000000000000001E-2</v>
      </c>
      <c r="W110" s="100" t="s">
        <v>627</v>
      </c>
      <c r="X110" s="100">
        <v>11.62</v>
      </c>
      <c r="Y110" s="100">
        <v>0.27</v>
      </c>
      <c r="Z110" s="57" t="s">
        <v>325</v>
      </c>
    </row>
    <row r="111" spans="1:26" ht="18" customHeight="1">
      <c r="A111" s="15">
        <v>109</v>
      </c>
      <c r="B111" s="15" t="s">
        <v>632</v>
      </c>
      <c r="C111" s="24" t="s">
        <v>331</v>
      </c>
      <c r="D111" s="74" t="s">
        <v>633</v>
      </c>
      <c r="E111" s="22" t="s">
        <v>332</v>
      </c>
      <c r="F111" s="19" t="s">
        <v>41</v>
      </c>
      <c r="G111" s="20" t="s">
        <v>634</v>
      </c>
      <c r="H111" s="19" t="s">
        <v>41</v>
      </c>
      <c r="I111" s="38" t="s">
        <v>635</v>
      </c>
      <c r="J111" s="40">
        <v>48</v>
      </c>
      <c r="K111" s="146">
        <v>13.8</v>
      </c>
      <c r="L111" s="297">
        <v>5.76</v>
      </c>
      <c r="M111" s="297">
        <v>7.34</v>
      </c>
      <c r="N111" s="153">
        <f t="shared" si="15"/>
        <v>7.76</v>
      </c>
      <c r="O111" s="153">
        <f t="shared" si="16"/>
        <v>7.26</v>
      </c>
      <c r="P111" s="153">
        <f t="shared" si="17"/>
        <v>6.76</v>
      </c>
      <c r="Q111" s="153">
        <f t="shared" si="18"/>
        <v>6.26</v>
      </c>
      <c r="R111" s="15">
        <v>1</v>
      </c>
      <c r="S111" s="37">
        <v>0.22</v>
      </c>
      <c r="T111" s="37">
        <f t="shared" si="19"/>
        <v>10.56</v>
      </c>
      <c r="U111" s="58">
        <v>9021109000</v>
      </c>
      <c r="V111" s="55">
        <v>0</v>
      </c>
      <c r="W111" s="101" t="s">
        <v>636</v>
      </c>
      <c r="X111" s="101">
        <v>10.99</v>
      </c>
      <c r="Y111" s="101">
        <v>0.12</v>
      </c>
      <c r="Z111" s="102" t="s">
        <v>335</v>
      </c>
    </row>
    <row r="112" spans="1:26" ht="18" customHeight="1">
      <c r="A112" s="15">
        <v>110</v>
      </c>
      <c r="B112" s="15" t="s">
        <v>637</v>
      </c>
      <c r="C112" s="24" t="s">
        <v>331</v>
      </c>
      <c r="D112" s="74" t="s">
        <v>633</v>
      </c>
      <c r="E112" s="22" t="s">
        <v>332</v>
      </c>
      <c r="F112" s="19" t="s">
        <v>41</v>
      </c>
      <c r="G112" s="20" t="s">
        <v>634</v>
      </c>
      <c r="H112" s="19" t="s">
        <v>41</v>
      </c>
      <c r="I112" s="38" t="s">
        <v>635</v>
      </c>
      <c r="J112" s="40">
        <v>48</v>
      </c>
      <c r="K112" s="146">
        <v>7.18</v>
      </c>
      <c r="L112" s="297">
        <v>5.76</v>
      </c>
      <c r="M112" s="297">
        <v>7.34</v>
      </c>
      <c r="N112" s="153">
        <f t="shared" si="15"/>
        <v>7.76</v>
      </c>
      <c r="O112" s="153">
        <f t="shared" si="16"/>
        <v>7.26</v>
      </c>
      <c r="P112" s="153">
        <f t="shared" si="17"/>
        <v>6.76</v>
      </c>
      <c r="Q112" s="153">
        <f t="shared" si="18"/>
        <v>6.26</v>
      </c>
      <c r="R112" s="15">
        <v>1</v>
      </c>
      <c r="S112" s="37">
        <v>0.22</v>
      </c>
      <c r="T112" s="37">
        <f t="shared" si="19"/>
        <v>10.56</v>
      </c>
      <c r="U112" s="58">
        <v>9021109000</v>
      </c>
      <c r="V112" s="55">
        <v>0</v>
      </c>
      <c r="W112" s="101" t="s">
        <v>636</v>
      </c>
      <c r="X112" s="101">
        <v>10.99</v>
      </c>
      <c r="Y112" s="101">
        <v>0.12</v>
      </c>
      <c r="Z112" s="57" t="s">
        <v>335</v>
      </c>
    </row>
    <row r="113" spans="1:26" ht="18" customHeight="1">
      <c r="A113" s="15">
        <v>111</v>
      </c>
      <c r="B113" s="15" t="s">
        <v>638</v>
      </c>
      <c r="C113" s="24" t="s">
        <v>331</v>
      </c>
      <c r="D113" s="74" t="s">
        <v>633</v>
      </c>
      <c r="E113" s="22" t="s">
        <v>332</v>
      </c>
      <c r="F113" s="19" t="s">
        <v>41</v>
      </c>
      <c r="G113" s="20" t="s">
        <v>634</v>
      </c>
      <c r="H113" s="19" t="s">
        <v>41</v>
      </c>
      <c r="I113" s="38" t="s">
        <v>635</v>
      </c>
      <c r="J113" s="40">
        <v>48</v>
      </c>
      <c r="K113" s="146">
        <v>7.18</v>
      </c>
      <c r="L113" s="297">
        <v>5.76</v>
      </c>
      <c r="M113" s="297">
        <v>7.34</v>
      </c>
      <c r="N113" s="153">
        <f t="shared" si="15"/>
        <v>7.76</v>
      </c>
      <c r="O113" s="153">
        <f t="shared" si="16"/>
        <v>7.26</v>
      </c>
      <c r="P113" s="153">
        <f t="shared" si="17"/>
        <v>6.76</v>
      </c>
      <c r="Q113" s="153">
        <f t="shared" si="18"/>
        <v>6.26</v>
      </c>
      <c r="R113" s="15">
        <v>1</v>
      </c>
      <c r="S113" s="37">
        <v>0.22</v>
      </c>
      <c r="T113" s="37">
        <f t="shared" si="19"/>
        <v>10.56</v>
      </c>
      <c r="U113" s="58">
        <v>9021109000</v>
      </c>
      <c r="V113" s="55">
        <v>0</v>
      </c>
      <c r="W113" s="101" t="s">
        <v>636</v>
      </c>
      <c r="X113" s="101">
        <v>10.99</v>
      </c>
      <c r="Y113" s="101">
        <v>0.12</v>
      </c>
      <c r="Z113" s="57" t="s">
        <v>335</v>
      </c>
    </row>
    <row r="114" spans="1:26" ht="18" customHeight="1">
      <c r="A114" s="15">
        <v>112</v>
      </c>
      <c r="B114" s="15" t="s">
        <v>639</v>
      </c>
      <c r="C114" s="24" t="s">
        <v>331</v>
      </c>
      <c r="D114" s="74" t="s">
        <v>633</v>
      </c>
      <c r="E114" s="22" t="s">
        <v>332</v>
      </c>
      <c r="F114" s="19" t="s">
        <v>41</v>
      </c>
      <c r="G114" s="20" t="s">
        <v>634</v>
      </c>
      <c r="H114" s="19" t="s">
        <v>41</v>
      </c>
      <c r="I114" s="38" t="s">
        <v>635</v>
      </c>
      <c r="J114" s="40">
        <v>46</v>
      </c>
      <c r="K114" s="146">
        <v>7.19</v>
      </c>
      <c r="L114" s="297">
        <v>5.52</v>
      </c>
      <c r="M114" s="297">
        <v>7.1</v>
      </c>
      <c r="N114" s="153">
        <f t="shared" si="15"/>
        <v>7.52</v>
      </c>
      <c r="O114" s="153">
        <f t="shared" si="16"/>
        <v>7.02</v>
      </c>
      <c r="P114" s="153">
        <f t="shared" si="17"/>
        <v>6.52</v>
      </c>
      <c r="Q114" s="153">
        <f t="shared" si="18"/>
        <v>6.02</v>
      </c>
      <c r="R114" s="15">
        <v>1</v>
      </c>
      <c r="S114" s="37">
        <v>0.22</v>
      </c>
      <c r="T114" s="37">
        <f t="shared" si="19"/>
        <v>10.119999999999999</v>
      </c>
      <c r="U114" s="58">
        <v>9021109000</v>
      </c>
      <c r="V114" s="55">
        <v>0</v>
      </c>
      <c r="W114" s="101" t="s">
        <v>636</v>
      </c>
      <c r="X114" s="101">
        <v>10.99</v>
      </c>
      <c r="Y114" s="101">
        <v>0.12</v>
      </c>
      <c r="Z114" s="57" t="s">
        <v>335</v>
      </c>
    </row>
    <row r="115" spans="1:26" ht="18" customHeight="1">
      <c r="A115" s="15">
        <v>113</v>
      </c>
      <c r="B115" s="340" t="s">
        <v>640</v>
      </c>
      <c r="C115" s="24" t="s">
        <v>340</v>
      </c>
      <c r="D115" s="16" t="s">
        <v>641</v>
      </c>
      <c r="E115" s="15" t="s">
        <v>642</v>
      </c>
      <c r="F115" s="75" t="s">
        <v>342</v>
      </c>
      <c r="G115" s="76" t="s">
        <v>343</v>
      </c>
      <c r="H115" s="19" t="s">
        <v>41</v>
      </c>
      <c r="I115" s="41" t="s">
        <v>643</v>
      </c>
      <c r="J115" s="15">
        <v>100</v>
      </c>
      <c r="K115" s="364">
        <v>12</v>
      </c>
      <c r="L115" s="305">
        <v>6</v>
      </c>
      <c r="M115" s="305">
        <v>7.58</v>
      </c>
      <c r="N115" s="153">
        <f t="shared" si="15"/>
        <v>8</v>
      </c>
      <c r="O115" s="153">
        <f t="shared" si="16"/>
        <v>7.5</v>
      </c>
      <c r="P115" s="153">
        <f t="shared" si="17"/>
        <v>7</v>
      </c>
      <c r="Q115" s="153">
        <f t="shared" si="18"/>
        <v>6.5</v>
      </c>
      <c r="R115" s="339">
        <v>1</v>
      </c>
      <c r="S115" s="37">
        <v>0.15</v>
      </c>
      <c r="T115" s="37">
        <f t="shared" si="19"/>
        <v>15</v>
      </c>
      <c r="U115" s="58">
        <v>8443999000</v>
      </c>
      <c r="V115" s="55">
        <v>0</v>
      </c>
      <c r="W115" s="101" t="s">
        <v>644</v>
      </c>
      <c r="X115" s="101">
        <v>9.99</v>
      </c>
      <c r="Y115" s="101">
        <v>0.06</v>
      </c>
      <c r="Z115" s="102" t="s">
        <v>345</v>
      </c>
    </row>
    <row r="116" spans="1:26" ht="18" customHeight="1">
      <c r="A116" s="15">
        <v>114</v>
      </c>
      <c r="B116" s="340"/>
      <c r="C116" s="24" t="s">
        <v>346</v>
      </c>
      <c r="D116" s="16" t="s">
        <v>645</v>
      </c>
      <c r="E116" s="18" t="s">
        <v>646</v>
      </c>
      <c r="F116" s="75" t="s">
        <v>348</v>
      </c>
      <c r="G116" s="76" t="s">
        <v>647</v>
      </c>
      <c r="H116" s="19" t="s">
        <v>41</v>
      </c>
      <c r="I116" s="86" t="s">
        <v>350</v>
      </c>
      <c r="J116" s="15">
        <v>89</v>
      </c>
      <c r="K116" s="364"/>
      <c r="L116" s="305">
        <v>17.8</v>
      </c>
      <c r="M116" s="305">
        <v>19.38</v>
      </c>
      <c r="N116" s="153">
        <f t="shared" si="15"/>
        <v>19.8</v>
      </c>
      <c r="O116" s="153">
        <f t="shared" si="16"/>
        <v>19.3</v>
      </c>
      <c r="P116" s="153">
        <f t="shared" si="17"/>
        <v>18.8</v>
      </c>
      <c r="Q116" s="153">
        <f t="shared" si="18"/>
        <v>18.3</v>
      </c>
      <c r="R116" s="339"/>
      <c r="S116" s="37">
        <v>0.11</v>
      </c>
      <c r="T116" s="37">
        <f t="shared" si="19"/>
        <v>9.7900000000000009</v>
      </c>
      <c r="U116" s="58">
        <v>3923299000</v>
      </c>
      <c r="V116" s="55">
        <v>6.5000000000000002E-2</v>
      </c>
      <c r="W116" s="103" t="s">
        <v>648</v>
      </c>
      <c r="X116" s="103">
        <v>6.99</v>
      </c>
      <c r="Y116" s="103">
        <v>0.2</v>
      </c>
      <c r="Z116" s="56" t="s">
        <v>351</v>
      </c>
    </row>
    <row r="117" spans="1:26" ht="18" customHeight="1">
      <c r="A117" s="15">
        <v>115</v>
      </c>
      <c r="B117" s="25" t="s">
        <v>649</v>
      </c>
      <c r="C117" s="24" t="s">
        <v>346</v>
      </c>
      <c r="D117" s="16" t="s">
        <v>645</v>
      </c>
      <c r="E117" s="18" t="s">
        <v>646</v>
      </c>
      <c r="F117" s="75" t="s">
        <v>348</v>
      </c>
      <c r="G117" s="76" t="s">
        <v>647</v>
      </c>
      <c r="H117" s="19" t="s">
        <v>41</v>
      </c>
      <c r="I117" s="86" t="s">
        <v>350</v>
      </c>
      <c r="J117" s="15">
        <v>89</v>
      </c>
      <c r="K117" s="156">
        <v>12</v>
      </c>
      <c r="L117" s="306">
        <v>17.8</v>
      </c>
      <c r="M117" s="306">
        <v>19.38</v>
      </c>
      <c r="N117" s="153">
        <f t="shared" si="15"/>
        <v>19.8</v>
      </c>
      <c r="O117" s="153">
        <f t="shared" si="16"/>
        <v>19.3</v>
      </c>
      <c r="P117" s="153">
        <f t="shared" si="17"/>
        <v>18.8</v>
      </c>
      <c r="Q117" s="153">
        <f t="shared" si="18"/>
        <v>18.3</v>
      </c>
      <c r="R117" s="26">
        <v>1</v>
      </c>
      <c r="S117" s="37">
        <v>0.11</v>
      </c>
      <c r="T117" s="37">
        <f t="shared" si="19"/>
        <v>9.7900000000000009</v>
      </c>
      <c r="U117" s="58">
        <v>3923299000</v>
      </c>
      <c r="V117" s="55">
        <v>6.5000000000000002E-2</v>
      </c>
      <c r="W117" s="103" t="s">
        <v>648</v>
      </c>
      <c r="X117" s="103">
        <v>6.99</v>
      </c>
      <c r="Y117" s="103">
        <v>0.2</v>
      </c>
      <c r="Z117" s="104" t="s">
        <v>351</v>
      </c>
    </row>
    <row r="118" spans="1:26" ht="18" customHeight="1">
      <c r="A118" s="15">
        <v>116</v>
      </c>
      <c r="B118" s="25" t="s">
        <v>650</v>
      </c>
      <c r="C118" s="24" t="s">
        <v>346</v>
      </c>
      <c r="D118" s="16" t="s">
        <v>645</v>
      </c>
      <c r="E118" s="18" t="s">
        <v>646</v>
      </c>
      <c r="F118" s="75" t="s">
        <v>348</v>
      </c>
      <c r="G118" s="76" t="s">
        <v>647</v>
      </c>
      <c r="H118" s="19" t="s">
        <v>41</v>
      </c>
      <c r="I118" s="86" t="s">
        <v>350</v>
      </c>
      <c r="J118" s="15">
        <v>89</v>
      </c>
      <c r="K118" s="156">
        <v>12</v>
      </c>
      <c r="L118" s="306">
        <v>17.8</v>
      </c>
      <c r="M118" s="306">
        <v>19.38</v>
      </c>
      <c r="N118" s="153">
        <f t="shared" si="15"/>
        <v>19.8</v>
      </c>
      <c r="O118" s="153">
        <f t="shared" si="16"/>
        <v>19.3</v>
      </c>
      <c r="P118" s="153">
        <f t="shared" si="17"/>
        <v>18.8</v>
      </c>
      <c r="Q118" s="153">
        <f t="shared" si="18"/>
        <v>18.3</v>
      </c>
      <c r="R118" s="26">
        <v>1</v>
      </c>
      <c r="S118" s="37">
        <v>0.11</v>
      </c>
      <c r="T118" s="37">
        <f t="shared" si="19"/>
        <v>9.7900000000000009</v>
      </c>
      <c r="U118" s="58">
        <v>3923299000</v>
      </c>
      <c r="V118" s="55">
        <v>6.5000000000000002E-2</v>
      </c>
      <c r="W118" s="103" t="s">
        <v>648</v>
      </c>
      <c r="X118" s="103">
        <v>6.99</v>
      </c>
      <c r="Y118" s="103">
        <v>0.2</v>
      </c>
      <c r="Z118" s="105" t="s">
        <v>351</v>
      </c>
    </row>
    <row r="119" spans="1:26" ht="18" customHeight="1">
      <c r="A119" s="15">
        <v>117</v>
      </c>
      <c r="B119" s="25" t="s">
        <v>651</v>
      </c>
      <c r="C119" s="24" t="s">
        <v>346</v>
      </c>
      <c r="D119" s="16" t="s">
        <v>645</v>
      </c>
      <c r="E119" s="18" t="s">
        <v>646</v>
      </c>
      <c r="F119" s="75" t="s">
        <v>348</v>
      </c>
      <c r="G119" s="76" t="s">
        <v>647</v>
      </c>
      <c r="H119" s="19" t="s">
        <v>41</v>
      </c>
      <c r="I119" s="86" t="s">
        <v>350</v>
      </c>
      <c r="J119" s="15">
        <v>89</v>
      </c>
      <c r="K119" s="156">
        <v>12</v>
      </c>
      <c r="L119" s="306">
        <v>17.8</v>
      </c>
      <c r="M119" s="306">
        <v>19.38</v>
      </c>
      <c r="N119" s="153">
        <f t="shared" si="15"/>
        <v>19.8</v>
      </c>
      <c r="O119" s="153">
        <f t="shared" si="16"/>
        <v>19.3</v>
      </c>
      <c r="P119" s="153">
        <f t="shared" si="17"/>
        <v>18.8</v>
      </c>
      <c r="Q119" s="153">
        <f t="shared" si="18"/>
        <v>18.3</v>
      </c>
      <c r="R119" s="26">
        <v>1</v>
      </c>
      <c r="S119" s="37">
        <v>0.11</v>
      </c>
      <c r="T119" s="37">
        <f t="shared" si="19"/>
        <v>9.7900000000000009</v>
      </c>
      <c r="U119" s="58">
        <v>3923299000</v>
      </c>
      <c r="V119" s="55">
        <v>6.5000000000000002E-2</v>
      </c>
      <c r="W119" s="103" t="s">
        <v>648</v>
      </c>
      <c r="X119" s="103">
        <v>6.99</v>
      </c>
      <c r="Y119" s="103">
        <v>0.2</v>
      </c>
      <c r="Z119" s="104" t="s">
        <v>351</v>
      </c>
    </row>
    <row r="120" spans="1:26" ht="18" customHeight="1">
      <c r="A120" s="15">
        <v>118</v>
      </c>
      <c r="B120" s="25" t="s">
        <v>652</v>
      </c>
      <c r="C120" s="24" t="s">
        <v>346</v>
      </c>
      <c r="D120" s="16" t="s">
        <v>645</v>
      </c>
      <c r="E120" s="18" t="s">
        <v>646</v>
      </c>
      <c r="F120" s="75" t="s">
        <v>348</v>
      </c>
      <c r="G120" s="76" t="s">
        <v>647</v>
      </c>
      <c r="H120" s="19" t="s">
        <v>41</v>
      </c>
      <c r="I120" s="87" t="s">
        <v>350</v>
      </c>
      <c r="J120" s="15">
        <v>89</v>
      </c>
      <c r="K120" s="156">
        <v>18.899999999999999</v>
      </c>
      <c r="L120" s="306">
        <v>17.8</v>
      </c>
      <c r="M120" s="306">
        <v>19.38</v>
      </c>
      <c r="N120" s="153">
        <f t="shared" si="15"/>
        <v>19.8</v>
      </c>
      <c r="O120" s="153">
        <f t="shared" si="16"/>
        <v>19.3</v>
      </c>
      <c r="P120" s="153">
        <f t="shared" si="17"/>
        <v>18.8</v>
      </c>
      <c r="Q120" s="153">
        <f t="shared" si="18"/>
        <v>18.3</v>
      </c>
      <c r="R120" s="26">
        <v>1</v>
      </c>
      <c r="S120" s="37">
        <v>0.11</v>
      </c>
      <c r="T120" s="37">
        <f t="shared" si="19"/>
        <v>9.7900000000000009</v>
      </c>
      <c r="U120" s="54">
        <v>3923299000</v>
      </c>
      <c r="V120" s="55">
        <v>6.5000000000000002E-2</v>
      </c>
      <c r="W120" s="103" t="s">
        <v>648</v>
      </c>
      <c r="X120" s="103">
        <v>6.99</v>
      </c>
      <c r="Y120" s="103">
        <v>0.2</v>
      </c>
      <c r="Z120" s="104" t="s">
        <v>351</v>
      </c>
    </row>
    <row r="121" spans="1:26" ht="18" customHeight="1">
      <c r="A121" s="15">
        <v>119</v>
      </c>
      <c r="B121" s="15" t="s">
        <v>653</v>
      </c>
      <c r="C121" s="24" t="s">
        <v>357</v>
      </c>
      <c r="D121" s="16" t="s">
        <v>645</v>
      </c>
      <c r="E121" s="22" t="s">
        <v>358</v>
      </c>
      <c r="F121" s="76" t="s">
        <v>41</v>
      </c>
      <c r="G121" s="75" t="s">
        <v>359</v>
      </c>
      <c r="H121" s="19" t="s">
        <v>41</v>
      </c>
      <c r="I121" s="69" t="s">
        <v>654</v>
      </c>
      <c r="J121" s="15">
        <v>9</v>
      </c>
      <c r="K121" s="146">
        <v>8.4499999999999993</v>
      </c>
      <c r="L121" s="297">
        <v>7.56</v>
      </c>
      <c r="M121" s="297">
        <v>9.14</v>
      </c>
      <c r="N121" s="153">
        <f t="shared" si="15"/>
        <v>9.5599999999999987</v>
      </c>
      <c r="O121" s="153">
        <f t="shared" si="16"/>
        <v>9.0599999999999987</v>
      </c>
      <c r="P121" s="153">
        <f t="shared" si="17"/>
        <v>8.5599999999999987</v>
      </c>
      <c r="Q121" s="153">
        <f t="shared" si="18"/>
        <v>8.0599999999999987</v>
      </c>
      <c r="R121" s="26">
        <v>1</v>
      </c>
      <c r="S121" s="37">
        <v>1.32</v>
      </c>
      <c r="T121" s="37">
        <f t="shared" si="19"/>
        <v>11.88</v>
      </c>
      <c r="U121" s="54">
        <v>9205909000</v>
      </c>
      <c r="V121" s="55">
        <v>3.2000000000000001E-2</v>
      </c>
      <c r="W121" s="103" t="s">
        <v>655</v>
      </c>
      <c r="X121" s="103">
        <v>18.989999999999998</v>
      </c>
      <c r="Y121" s="103">
        <v>0.84</v>
      </c>
      <c r="Z121" s="106" t="s">
        <v>361</v>
      </c>
    </row>
    <row r="122" spans="1:26" ht="18" customHeight="1">
      <c r="A122" s="15">
        <v>120</v>
      </c>
      <c r="B122" s="15" t="s">
        <v>656</v>
      </c>
      <c r="C122" s="24" t="s">
        <v>357</v>
      </c>
      <c r="D122" s="16" t="s">
        <v>645</v>
      </c>
      <c r="E122" s="22" t="s">
        <v>358</v>
      </c>
      <c r="F122" s="76" t="s">
        <v>41</v>
      </c>
      <c r="G122" s="75" t="s">
        <v>359</v>
      </c>
      <c r="H122" s="19" t="s">
        <v>41</v>
      </c>
      <c r="I122" s="69" t="s">
        <v>654</v>
      </c>
      <c r="J122" s="15">
        <v>11</v>
      </c>
      <c r="K122" s="146">
        <v>9.85</v>
      </c>
      <c r="L122" s="297">
        <v>9.24</v>
      </c>
      <c r="M122" s="297">
        <v>10.82</v>
      </c>
      <c r="N122" s="153">
        <f t="shared" si="15"/>
        <v>11.24</v>
      </c>
      <c r="O122" s="153">
        <f t="shared" si="16"/>
        <v>10.74</v>
      </c>
      <c r="P122" s="153">
        <f t="shared" si="17"/>
        <v>10.24</v>
      </c>
      <c r="Q122" s="153">
        <f t="shared" si="18"/>
        <v>9.74</v>
      </c>
      <c r="R122" s="26">
        <v>1</v>
      </c>
      <c r="S122" s="37">
        <v>1.32</v>
      </c>
      <c r="T122" s="37">
        <f t="shared" si="19"/>
        <v>14.520000000000001</v>
      </c>
      <c r="U122" s="54">
        <v>9205909000</v>
      </c>
      <c r="V122" s="55">
        <v>3.2000000000000001E-2</v>
      </c>
      <c r="W122" s="103" t="s">
        <v>655</v>
      </c>
      <c r="X122" s="103">
        <v>18.989999999999998</v>
      </c>
      <c r="Y122" s="103">
        <v>0.84</v>
      </c>
      <c r="Z122" s="107" t="s">
        <v>361</v>
      </c>
    </row>
    <row r="123" spans="1:26" ht="18" customHeight="1">
      <c r="A123" s="15">
        <v>121</v>
      </c>
      <c r="B123" s="15" t="s">
        <v>657</v>
      </c>
      <c r="C123" s="24" t="s">
        <v>357</v>
      </c>
      <c r="D123" s="16" t="s">
        <v>645</v>
      </c>
      <c r="E123" s="22" t="s">
        <v>358</v>
      </c>
      <c r="F123" s="76" t="s">
        <v>41</v>
      </c>
      <c r="G123" s="75" t="s">
        <v>359</v>
      </c>
      <c r="H123" s="19" t="s">
        <v>41</v>
      </c>
      <c r="I123" s="69" t="s">
        <v>654</v>
      </c>
      <c r="J123" s="15">
        <v>10</v>
      </c>
      <c r="K123" s="146">
        <v>9.85</v>
      </c>
      <c r="L123" s="297">
        <v>8.4</v>
      </c>
      <c r="M123" s="297">
        <v>9.98</v>
      </c>
      <c r="N123" s="153">
        <f t="shared" si="15"/>
        <v>10.4</v>
      </c>
      <c r="O123" s="153">
        <f t="shared" si="16"/>
        <v>9.9</v>
      </c>
      <c r="P123" s="153">
        <f t="shared" si="17"/>
        <v>9.4</v>
      </c>
      <c r="Q123" s="153">
        <f t="shared" si="18"/>
        <v>8.9</v>
      </c>
      <c r="R123" s="26">
        <v>1</v>
      </c>
      <c r="S123" s="37">
        <v>1.32</v>
      </c>
      <c r="T123" s="37">
        <f t="shared" si="19"/>
        <v>13.200000000000001</v>
      </c>
      <c r="U123" s="54">
        <v>9205909000</v>
      </c>
      <c r="V123" s="55">
        <v>3.2000000000000001E-2</v>
      </c>
      <c r="W123" s="103" t="s">
        <v>655</v>
      </c>
      <c r="X123" s="103">
        <v>18.989999999999998</v>
      </c>
      <c r="Y123" s="103">
        <v>0.84</v>
      </c>
      <c r="Z123" s="107" t="s">
        <v>361</v>
      </c>
    </row>
    <row r="124" spans="1:26" ht="18" customHeight="1">
      <c r="A124" s="15">
        <v>122</v>
      </c>
      <c r="B124" s="15" t="s">
        <v>658</v>
      </c>
      <c r="C124" s="77" t="s">
        <v>365</v>
      </c>
      <c r="D124" s="16" t="s">
        <v>659</v>
      </c>
      <c r="E124" s="18" t="s">
        <v>660</v>
      </c>
      <c r="F124" s="78" t="s">
        <v>41</v>
      </c>
      <c r="G124" s="79" t="s">
        <v>367</v>
      </c>
      <c r="H124" s="80" t="s">
        <v>41</v>
      </c>
      <c r="I124" s="33" t="s">
        <v>368</v>
      </c>
      <c r="J124" s="15">
        <v>216</v>
      </c>
      <c r="K124" s="157">
        <v>28.5</v>
      </c>
      <c r="L124" s="153">
        <v>32.4</v>
      </c>
      <c r="M124" s="153">
        <v>33.979999999999997</v>
      </c>
      <c r="N124" s="153">
        <f t="shared" si="15"/>
        <v>34.4</v>
      </c>
      <c r="O124" s="153">
        <f t="shared" si="16"/>
        <v>33.9</v>
      </c>
      <c r="P124" s="153">
        <f t="shared" si="17"/>
        <v>33.4</v>
      </c>
      <c r="Q124" s="153">
        <f t="shared" si="18"/>
        <v>32.9</v>
      </c>
      <c r="R124" s="25">
        <v>1</v>
      </c>
      <c r="S124" s="37">
        <v>0.26</v>
      </c>
      <c r="T124" s="37">
        <f t="shared" si="19"/>
        <v>56.160000000000004</v>
      </c>
      <c r="U124" s="54">
        <v>6208990099</v>
      </c>
      <c r="V124" s="55">
        <v>0.12</v>
      </c>
      <c r="W124" s="108" t="s">
        <v>661</v>
      </c>
      <c r="X124" s="108">
        <v>1.99</v>
      </c>
      <c r="Y124" s="108">
        <v>0.15</v>
      </c>
      <c r="Z124" s="109" t="s">
        <v>369</v>
      </c>
    </row>
    <row r="125" spans="1:26" ht="18" customHeight="1">
      <c r="A125" s="15">
        <v>123</v>
      </c>
      <c r="B125" s="15" t="s">
        <v>662</v>
      </c>
      <c r="C125" s="77" t="s">
        <v>365</v>
      </c>
      <c r="D125" s="16" t="s">
        <v>659</v>
      </c>
      <c r="E125" s="18" t="s">
        <v>660</v>
      </c>
      <c r="F125" s="78" t="s">
        <v>41</v>
      </c>
      <c r="G125" s="79" t="s">
        <v>367</v>
      </c>
      <c r="H125" s="80" t="s">
        <v>41</v>
      </c>
      <c r="I125" s="33" t="s">
        <v>368</v>
      </c>
      <c r="J125" s="15">
        <v>216</v>
      </c>
      <c r="K125" s="157">
        <v>28.5</v>
      </c>
      <c r="L125" s="153">
        <v>32.4</v>
      </c>
      <c r="M125" s="153">
        <v>33.979999999999997</v>
      </c>
      <c r="N125" s="153">
        <f t="shared" si="15"/>
        <v>34.4</v>
      </c>
      <c r="O125" s="153">
        <f t="shared" si="16"/>
        <v>33.9</v>
      </c>
      <c r="P125" s="153">
        <f t="shared" si="17"/>
        <v>33.4</v>
      </c>
      <c r="Q125" s="153">
        <f t="shared" si="18"/>
        <v>32.9</v>
      </c>
      <c r="R125" s="25">
        <v>1</v>
      </c>
      <c r="S125" s="37">
        <v>0.26</v>
      </c>
      <c r="T125" s="37">
        <f t="shared" si="19"/>
        <v>56.160000000000004</v>
      </c>
      <c r="U125" s="54">
        <v>6208990099</v>
      </c>
      <c r="V125" s="55">
        <v>0.12</v>
      </c>
      <c r="W125" s="108" t="s">
        <v>661</v>
      </c>
      <c r="X125" s="108">
        <v>1.99</v>
      </c>
      <c r="Y125" s="108">
        <v>0.15</v>
      </c>
      <c r="Z125" s="110" t="s">
        <v>369</v>
      </c>
    </row>
    <row r="126" spans="1:26" ht="18" customHeight="1">
      <c r="A126" s="15">
        <v>124</v>
      </c>
      <c r="B126" s="15" t="s">
        <v>663</v>
      </c>
      <c r="C126" s="77" t="s">
        <v>365</v>
      </c>
      <c r="D126" s="16" t="s">
        <v>659</v>
      </c>
      <c r="E126" s="18" t="s">
        <v>660</v>
      </c>
      <c r="F126" s="78" t="s">
        <v>41</v>
      </c>
      <c r="G126" s="79" t="s">
        <v>367</v>
      </c>
      <c r="H126" s="80" t="s">
        <v>41</v>
      </c>
      <c r="I126" s="33" t="s">
        <v>368</v>
      </c>
      <c r="J126" s="15">
        <v>216</v>
      </c>
      <c r="K126" s="157">
        <v>23</v>
      </c>
      <c r="L126" s="153">
        <v>32.4</v>
      </c>
      <c r="M126" s="153">
        <v>33.979999999999997</v>
      </c>
      <c r="N126" s="153">
        <f t="shared" si="15"/>
        <v>34.4</v>
      </c>
      <c r="O126" s="153">
        <f t="shared" si="16"/>
        <v>33.9</v>
      </c>
      <c r="P126" s="153">
        <f t="shared" si="17"/>
        <v>33.4</v>
      </c>
      <c r="Q126" s="153">
        <f t="shared" si="18"/>
        <v>32.9</v>
      </c>
      <c r="R126" s="25">
        <v>1</v>
      </c>
      <c r="S126" s="37">
        <v>0.26</v>
      </c>
      <c r="T126" s="37">
        <f t="shared" si="19"/>
        <v>56.160000000000004</v>
      </c>
      <c r="U126" s="54">
        <v>6208990099</v>
      </c>
      <c r="V126" s="55">
        <v>0.12</v>
      </c>
      <c r="W126" s="108" t="s">
        <v>661</v>
      </c>
      <c r="X126" s="108">
        <v>1.99</v>
      </c>
      <c r="Y126" s="108">
        <v>0.15</v>
      </c>
      <c r="Z126" s="110" t="s">
        <v>369</v>
      </c>
    </row>
    <row r="127" spans="1:26" ht="18" customHeight="1">
      <c r="A127" s="15">
        <v>125</v>
      </c>
      <c r="B127" s="23" t="s">
        <v>664</v>
      </c>
      <c r="C127" s="24" t="s">
        <v>80</v>
      </c>
      <c r="D127" s="16" t="s">
        <v>463</v>
      </c>
      <c r="E127" s="22" t="s">
        <v>81</v>
      </c>
      <c r="F127" s="19" t="s">
        <v>41</v>
      </c>
      <c r="G127" s="20" t="s">
        <v>464</v>
      </c>
      <c r="H127" s="19" t="s">
        <v>41</v>
      </c>
      <c r="I127" s="16" t="s">
        <v>665</v>
      </c>
      <c r="J127" s="42">
        <v>128</v>
      </c>
      <c r="K127" s="146">
        <v>19.329999999999998</v>
      </c>
      <c r="L127" s="297">
        <v>5.76</v>
      </c>
      <c r="M127" s="297">
        <v>7.34</v>
      </c>
      <c r="N127" s="153">
        <f t="shared" si="15"/>
        <v>7.76</v>
      </c>
      <c r="O127" s="153">
        <f t="shared" si="16"/>
        <v>7.26</v>
      </c>
      <c r="P127" s="153">
        <f t="shared" si="17"/>
        <v>6.76</v>
      </c>
      <c r="Q127" s="153">
        <f t="shared" si="18"/>
        <v>6.26</v>
      </c>
      <c r="R127" s="25">
        <v>1</v>
      </c>
      <c r="S127" s="37">
        <v>0.08</v>
      </c>
      <c r="T127" s="37">
        <f t="shared" si="19"/>
        <v>10.24</v>
      </c>
      <c r="U127" s="54">
        <v>9609909000</v>
      </c>
      <c r="V127" s="55">
        <v>1.7000000000000001E-2</v>
      </c>
      <c r="W127" s="16" t="s">
        <v>466</v>
      </c>
      <c r="X127" s="16">
        <v>7.99</v>
      </c>
      <c r="Y127" s="16">
        <v>4.4999999999999998E-2</v>
      </c>
      <c r="Z127" s="111" t="s">
        <v>375</v>
      </c>
    </row>
    <row r="128" spans="1:26" ht="18" customHeight="1">
      <c r="A128" s="15">
        <v>126</v>
      </c>
      <c r="B128" s="23" t="s">
        <v>666</v>
      </c>
      <c r="C128" s="24" t="s">
        <v>80</v>
      </c>
      <c r="D128" s="16" t="s">
        <v>463</v>
      </c>
      <c r="E128" s="22" t="s">
        <v>81</v>
      </c>
      <c r="F128" s="19" t="s">
        <v>41</v>
      </c>
      <c r="G128" s="20" t="s">
        <v>464</v>
      </c>
      <c r="H128" s="19" t="s">
        <v>41</v>
      </c>
      <c r="I128" s="16" t="s">
        <v>665</v>
      </c>
      <c r="J128" s="42">
        <v>128</v>
      </c>
      <c r="K128" s="146">
        <v>19.329999999999998</v>
      </c>
      <c r="L128" s="297">
        <v>5.76</v>
      </c>
      <c r="M128" s="297">
        <v>7.34</v>
      </c>
      <c r="N128" s="153">
        <f t="shared" si="15"/>
        <v>7.76</v>
      </c>
      <c r="O128" s="153">
        <f t="shared" si="16"/>
        <v>7.26</v>
      </c>
      <c r="P128" s="153">
        <f t="shared" si="17"/>
        <v>6.76</v>
      </c>
      <c r="Q128" s="153">
        <f t="shared" si="18"/>
        <v>6.26</v>
      </c>
      <c r="R128" s="25">
        <v>1</v>
      </c>
      <c r="S128" s="37">
        <v>0.08</v>
      </c>
      <c r="T128" s="37">
        <f t="shared" si="19"/>
        <v>10.24</v>
      </c>
      <c r="U128" s="54">
        <v>9609909000</v>
      </c>
      <c r="V128" s="55">
        <v>1.7000000000000001E-2</v>
      </c>
      <c r="W128" s="16" t="s">
        <v>466</v>
      </c>
      <c r="X128" s="16">
        <v>7.99</v>
      </c>
      <c r="Y128" s="16">
        <v>4.4999999999999998E-2</v>
      </c>
      <c r="Z128" s="111" t="s">
        <v>375</v>
      </c>
    </row>
    <row r="129" spans="1:26" ht="18" customHeight="1">
      <c r="A129" s="15">
        <v>127</v>
      </c>
      <c r="B129" s="23" t="s">
        <v>667</v>
      </c>
      <c r="C129" s="24" t="s">
        <v>80</v>
      </c>
      <c r="D129" s="16" t="s">
        <v>463</v>
      </c>
      <c r="E129" s="22" t="s">
        <v>81</v>
      </c>
      <c r="F129" s="19" t="s">
        <v>41</v>
      </c>
      <c r="G129" s="20" t="s">
        <v>464</v>
      </c>
      <c r="H129" s="19" t="s">
        <v>41</v>
      </c>
      <c r="I129" s="16" t="s">
        <v>665</v>
      </c>
      <c r="J129" s="42">
        <v>128</v>
      </c>
      <c r="K129" s="146">
        <v>19.329999999999998</v>
      </c>
      <c r="L129" s="297">
        <v>5.76</v>
      </c>
      <c r="M129" s="297">
        <v>7.34</v>
      </c>
      <c r="N129" s="153">
        <f t="shared" si="15"/>
        <v>7.76</v>
      </c>
      <c r="O129" s="153">
        <f t="shared" si="16"/>
        <v>7.26</v>
      </c>
      <c r="P129" s="153">
        <f t="shared" si="17"/>
        <v>6.76</v>
      </c>
      <c r="Q129" s="153">
        <f t="shared" si="18"/>
        <v>6.26</v>
      </c>
      <c r="R129" s="25">
        <v>1</v>
      </c>
      <c r="S129" s="37">
        <v>0.08</v>
      </c>
      <c r="T129" s="37">
        <f t="shared" si="19"/>
        <v>10.24</v>
      </c>
      <c r="U129" s="54">
        <v>9609909000</v>
      </c>
      <c r="V129" s="55">
        <v>1.7000000000000001E-2</v>
      </c>
      <c r="W129" s="16" t="s">
        <v>466</v>
      </c>
      <c r="X129" s="16">
        <v>7.99</v>
      </c>
      <c r="Y129" s="16">
        <v>4.4999999999999998E-2</v>
      </c>
      <c r="Z129" s="111" t="s">
        <v>375</v>
      </c>
    </row>
    <row r="130" spans="1:26" ht="18" customHeight="1">
      <c r="A130" s="15">
        <v>128</v>
      </c>
      <c r="B130" s="23" t="s">
        <v>668</v>
      </c>
      <c r="C130" s="24" t="s">
        <v>80</v>
      </c>
      <c r="D130" s="16" t="s">
        <v>463</v>
      </c>
      <c r="E130" s="22" t="s">
        <v>81</v>
      </c>
      <c r="F130" s="19" t="s">
        <v>41</v>
      </c>
      <c r="G130" s="20" t="s">
        <v>464</v>
      </c>
      <c r="H130" s="19" t="s">
        <v>41</v>
      </c>
      <c r="I130" s="16" t="s">
        <v>665</v>
      </c>
      <c r="J130" s="42">
        <v>128</v>
      </c>
      <c r="K130" s="146">
        <v>19.329999999999998</v>
      </c>
      <c r="L130" s="297">
        <v>5.76</v>
      </c>
      <c r="M130" s="297">
        <v>7.34</v>
      </c>
      <c r="N130" s="153">
        <f t="shared" si="15"/>
        <v>7.76</v>
      </c>
      <c r="O130" s="153">
        <f t="shared" si="16"/>
        <v>7.26</v>
      </c>
      <c r="P130" s="153">
        <f t="shared" si="17"/>
        <v>6.76</v>
      </c>
      <c r="Q130" s="153">
        <f t="shared" si="18"/>
        <v>6.26</v>
      </c>
      <c r="R130" s="25">
        <v>1</v>
      </c>
      <c r="S130" s="37">
        <v>0.08</v>
      </c>
      <c r="T130" s="37">
        <f t="shared" si="19"/>
        <v>10.24</v>
      </c>
      <c r="U130" s="54">
        <v>9609909000</v>
      </c>
      <c r="V130" s="55">
        <v>1.7000000000000001E-2</v>
      </c>
      <c r="W130" s="16" t="s">
        <v>466</v>
      </c>
      <c r="X130" s="16">
        <v>7.99</v>
      </c>
      <c r="Y130" s="16">
        <v>4.4999999999999998E-2</v>
      </c>
      <c r="Z130" s="111" t="s">
        <v>375</v>
      </c>
    </row>
    <row r="131" spans="1:26" ht="18" customHeight="1">
      <c r="A131" s="15">
        <v>129</v>
      </c>
      <c r="B131" s="23" t="s">
        <v>669</v>
      </c>
      <c r="C131" s="24" t="s">
        <v>80</v>
      </c>
      <c r="D131" s="16" t="s">
        <v>463</v>
      </c>
      <c r="E131" s="22" t="s">
        <v>81</v>
      </c>
      <c r="F131" s="19" t="s">
        <v>41</v>
      </c>
      <c r="G131" s="20" t="s">
        <v>464</v>
      </c>
      <c r="H131" s="19" t="s">
        <v>41</v>
      </c>
      <c r="I131" s="16" t="s">
        <v>665</v>
      </c>
      <c r="J131" s="42">
        <v>128</v>
      </c>
      <c r="K131" s="146">
        <v>19.329999999999998</v>
      </c>
      <c r="L131" s="297">
        <v>5.76</v>
      </c>
      <c r="M131" s="297">
        <v>7.34</v>
      </c>
      <c r="N131" s="153">
        <f t="shared" ref="N131:N143" si="20">J131*Y131+2</f>
        <v>7.76</v>
      </c>
      <c r="O131" s="153">
        <f t="shared" ref="O131:O143" si="21">J131*Y131+1.5</f>
        <v>7.26</v>
      </c>
      <c r="P131" s="153">
        <f t="shared" ref="P131:P143" si="22">J131*Y131+1</f>
        <v>6.76</v>
      </c>
      <c r="Q131" s="153">
        <f t="shared" ref="Q131:Q143" si="23">J131*Y131+0.5</f>
        <v>6.26</v>
      </c>
      <c r="R131" s="25">
        <v>1</v>
      </c>
      <c r="S131" s="37">
        <v>0.08</v>
      </c>
      <c r="T131" s="37">
        <f t="shared" ref="T131:T143" si="24">S131*J131</f>
        <v>10.24</v>
      </c>
      <c r="U131" s="54">
        <v>9609909000</v>
      </c>
      <c r="V131" s="55">
        <v>1.7000000000000001E-2</v>
      </c>
      <c r="W131" s="16" t="s">
        <v>466</v>
      </c>
      <c r="X131" s="16">
        <v>7.99</v>
      </c>
      <c r="Y131" s="16">
        <v>4.4999999999999998E-2</v>
      </c>
      <c r="Z131" s="111" t="s">
        <v>375</v>
      </c>
    </row>
    <row r="132" spans="1:26" ht="18" customHeight="1">
      <c r="A132" s="15">
        <v>130</v>
      </c>
      <c r="B132" s="23" t="s">
        <v>670</v>
      </c>
      <c r="C132" s="24" t="s">
        <v>80</v>
      </c>
      <c r="D132" s="16" t="s">
        <v>463</v>
      </c>
      <c r="E132" s="22" t="s">
        <v>81</v>
      </c>
      <c r="F132" s="19" t="s">
        <v>41</v>
      </c>
      <c r="G132" s="20" t="s">
        <v>464</v>
      </c>
      <c r="H132" s="19" t="s">
        <v>41</v>
      </c>
      <c r="I132" s="16" t="s">
        <v>665</v>
      </c>
      <c r="J132" s="42">
        <v>128</v>
      </c>
      <c r="K132" s="146">
        <v>19.329999999999998</v>
      </c>
      <c r="L132" s="297">
        <v>5.76</v>
      </c>
      <c r="M132" s="297">
        <v>7.34</v>
      </c>
      <c r="N132" s="153">
        <f t="shared" si="20"/>
        <v>7.76</v>
      </c>
      <c r="O132" s="153">
        <f t="shared" si="21"/>
        <v>7.26</v>
      </c>
      <c r="P132" s="153">
        <f t="shared" si="22"/>
        <v>6.76</v>
      </c>
      <c r="Q132" s="153">
        <f t="shared" si="23"/>
        <v>6.26</v>
      </c>
      <c r="R132" s="25">
        <v>1</v>
      </c>
      <c r="S132" s="37">
        <v>0.08</v>
      </c>
      <c r="T132" s="37">
        <f t="shared" si="24"/>
        <v>10.24</v>
      </c>
      <c r="U132" s="54">
        <v>9609909000</v>
      </c>
      <c r="V132" s="55">
        <v>1.7000000000000001E-2</v>
      </c>
      <c r="W132" s="16" t="s">
        <v>466</v>
      </c>
      <c r="X132" s="16">
        <v>7.99</v>
      </c>
      <c r="Y132" s="16">
        <v>4.4999999999999998E-2</v>
      </c>
      <c r="Z132" s="111" t="s">
        <v>375</v>
      </c>
    </row>
    <row r="133" spans="1:26" ht="18" customHeight="1">
      <c r="A133" s="15">
        <v>131</v>
      </c>
      <c r="B133" s="23" t="s">
        <v>671</v>
      </c>
      <c r="C133" s="24" t="s">
        <v>80</v>
      </c>
      <c r="D133" s="16" t="s">
        <v>463</v>
      </c>
      <c r="E133" s="22" t="s">
        <v>81</v>
      </c>
      <c r="F133" s="19" t="s">
        <v>41</v>
      </c>
      <c r="G133" s="20" t="s">
        <v>464</v>
      </c>
      <c r="H133" s="19" t="s">
        <v>41</v>
      </c>
      <c r="I133" s="16" t="s">
        <v>665</v>
      </c>
      <c r="J133" s="42">
        <v>128</v>
      </c>
      <c r="K133" s="146">
        <v>19.329999999999998</v>
      </c>
      <c r="L133" s="297">
        <v>5.76</v>
      </c>
      <c r="M133" s="297">
        <v>7.34</v>
      </c>
      <c r="N133" s="153">
        <f t="shared" si="20"/>
        <v>7.76</v>
      </c>
      <c r="O133" s="153">
        <f t="shared" si="21"/>
        <v>7.26</v>
      </c>
      <c r="P133" s="153">
        <f t="shared" si="22"/>
        <v>6.76</v>
      </c>
      <c r="Q133" s="153">
        <f t="shared" si="23"/>
        <v>6.26</v>
      </c>
      <c r="R133" s="25">
        <v>1</v>
      </c>
      <c r="S133" s="37">
        <v>0.08</v>
      </c>
      <c r="T133" s="37">
        <f t="shared" si="24"/>
        <v>10.24</v>
      </c>
      <c r="U133" s="54">
        <v>9609909000</v>
      </c>
      <c r="V133" s="55">
        <v>1.7000000000000001E-2</v>
      </c>
      <c r="W133" s="16" t="s">
        <v>466</v>
      </c>
      <c r="X133" s="16">
        <v>7.99</v>
      </c>
      <c r="Y133" s="16">
        <v>4.4999999999999998E-2</v>
      </c>
      <c r="Z133" s="111" t="s">
        <v>375</v>
      </c>
    </row>
    <row r="134" spans="1:26" ht="18" customHeight="1">
      <c r="A134" s="15">
        <v>132</v>
      </c>
      <c r="B134" s="23" t="s">
        <v>672</v>
      </c>
      <c r="C134" s="24" t="s">
        <v>383</v>
      </c>
      <c r="D134" s="16" t="s">
        <v>673</v>
      </c>
      <c r="E134" s="22" t="s">
        <v>384</v>
      </c>
      <c r="F134" s="19" t="s">
        <v>41</v>
      </c>
      <c r="G134" s="20" t="s">
        <v>674</v>
      </c>
      <c r="H134" s="19" t="s">
        <v>41</v>
      </c>
      <c r="I134" s="16" t="s">
        <v>675</v>
      </c>
      <c r="J134" s="16">
        <v>200</v>
      </c>
      <c r="K134" s="146">
        <v>19.329999999999998</v>
      </c>
      <c r="L134" s="297">
        <v>20</v>
      </c>
      <c r="M134" s="297">
        <v>21.58</v>
      </c>
      <c r="N134" s="153">
        <f t="shared" si="20"/>
        <v>22</v>
      </c>
      <c r="O134" s="153">
        <f t="shared" si="21"/>
        <v>21.5</v>
      </c>
      <c r="P134" s="153">
        <f t="shared" si="22"/>
        <v>21</v>
      </c>
      <c r="Q134" s="153">
        <f t="shared" si="23"/>
        <v>20.5</v>
      </c>
      <c r="R134" s="25">
        <v>1</v>
      </c>
      <c r="S134" s="37">
        <v>0.11</v>
      </c>
      <c r="T134" s="37">
        <f t="shared" si="24"/>
        <v>22</v>
      </c>
      <c r="U134" s="54">
        <v>8203200000</v>
      </c>
      <c r="V134" s="55">
        <v>1.7000000000000001E-2</v>
      </c>
      <c r="W134" s="131" t="s">
        <v>676</v>
      </c>
      <c r="X134" s="132">
        <v>17.989999999999998</v>
      </c>
      <c r="Y134" s="132">
        <v>0.1</v>
      </c>
      <c r="Z134" s="133" t="s">
        <v>387</v>
      </c>
    </row>
    <row r="135" spans="1:26" ht="18" customHeight="1">
      <c r="A135" s="15">
        <v>133</v>
      </c>
      <c r="B135" s="23" t="s">
        <v>677</v>
      </c>
      <c r="C135" s="24" t="s">
        <v>383</v>
      </c>
      <c r="D135" s="16" t="s">
        <v>673</v>
      </c>
      <c r="E135" s="22" t="s">
        <v>384</v>
      </c>
      <c r="F135" s="19" t="s">
        <v>41</v>
      </c>
      <c r="G135" s="20" t="s">
        <v>674</v>
      </c>
      <c r="H135" s="19" t="s">
        <v>41</v>
      </c>
      <c r="I135" s="16" t="s">
        <v>675</v>
      </c>
      <c r="J135" s="16">
        <v>200</v>
      </c>
      <c r="K135" s="146">
        <v>19.34</v>
      </c>
      <c r="L135" s="297">
        <v>20</v>
      </c>
      <c r="M135" s="297">
        <v>21.58</v>
      </c>
      <c r="N135" s="153">
        <f t="shared" si="20"/>
        <v>22</v>
      </c>
      <c r="O135" s="153">
        <f t="shared" si="21"/>
        <v>21.5</v>
      </c>
      <c r="P135" s="153">
        <f t="shared" si="22"/>
        <v>21</v>
      </c>
      <c r="Q135" s="153">
        <f t="shared" si="23"/>
        <v>20.5</v>
      </c>
      <c r="R135" s="25">
        <v>1</v>
      </c>
      <c r="S135" s="37">
        <v>0.11</v>
      </c>
      <c r="T135" s="37">
        <f t="shared" si="24"/>
        <v>22</v>
      </c>
      <c r="U135" s="54">
        <v>8203200000</v>
      </c>
      <c r="V135" s="55">
        <v>1.7000000000000001E-2</v>
      </c>
      <c r="W135" s="131" t="s">
        <v>676</v>
      </c>
      <c r="X135" s="132">
        <v>17.989999999999998</v>
      </c>
      <c r="Y135" s="132">
        <v>0.1</v>
      </c>
      <c r="Z135" s="133" t="s">
        <v>387</v>
      </c>
    </row>
    <row r="136" spans="1:26" ht="18" customHeight="1">
      <c r="A136" s="15">
        <v>134</v>
      </c>
      <c r="B136" s="15" t="s">
        <v>678</v>
      </c>
      <c r="C136" s="24" t="s">
        <v>390</v>
      </c>
      <c r="D136" s="16" t="s">
        <v>679</v>
      </c>
      <c r="E136" s="22" t="s">
        <v>391</v>
      </c>
      <c r="F136" s="16" t="s">
        <v>392</v>
      </c>
      <c r="G136" s="16" t="s">
        <v>680</v>
      </c>
      <c r="H136" s="16" t="s">
        <v>392</v>
      </c>
      <c r="I136" s="26" t="s">
        <v>681</v>
      </c>
      <c r="J136" s="15">
        <v>50</v>
      </c>
      <c r="K136" s="146">
        <v>16.77</v>
      </c>
      <c r="L136" s="297">
        <v>18</v>
      </c>
      <c r="M136" s="297">
        <v>19.579999999999998</v>
      </c>
      <c r="N136" s="153">
        <f t="shared" si="20"/>
        <v>20</v>
      </c>
      <c r="O136" s="153">
        <f t="shared" si="21"/>
        <v>19.5</v>
      </c>
      <c r="P136" s="153">
        <f t="shared" si="22"/>
        <v>19</v>
      </c>
      <c r="Q136" s="153">
        <f t="shared" si="23"/>
        <v>18.5</v>
      </c>
      <c r="R136" s="25">
        <v>1</v>
      </c>
      <c r="S136" s="37">
        <v>0.25</v>
      </c>
      <c r="T136" s="37">
        <f t="shared" si="24"/>
        <v>12.5</v>
      </c>
      <c r="U136" s="54">
        <v>8539500000</v>
      </c>
      <c r="V136" s="55">
        <v>3.6999999999999998E-2</v>
      </c>
      <c r="W136" s="103" t="s">
        <v>682</v>
      </c>
      <c r="X136" s="103">
        <v>14.99</v>
      </c>
      <c r="Y136" s="103">
        <v>0.36</v>
      </c>
      <c r="Z136" s="134" t="s">
        <v>395</v>
      </c>
    </row>
    <row r="137" spans="1:26" ht="18" customHeight="1">
      <c r="A137" s="15">
        <v>135</v>
      </c>
      <c r="B137" s="15" t="s">
        <v>683</v>
      </c>
      <c r="C137" s="24" t="s">
        <v>390</v>
      </c>
      <c r="D137" s="16" t="s">
        <v>679</v>
      </c>
      <c r="E137" s="22" t="s">
        <v>391</v>
      </c>
      <c r="F137" s="16" t="s">
        <v>392</v>
      </c>
      <c r="G137" s="16" t="s">
        <v>680</v>
      </c>
      <c r="H137" s="16" t="s">
        <v>392</v>
      </c>
      <c r="I137" s="26" t="s">
        <v>681</v>
      </c>
      <c r="J137" s="15">
        <v>50</v>
      </c>
      <c r="K137" s="146">
        <v>16.78</v>
      </c>
      <c r="L137" s="297">
        <v>18</v>
      </c>
      <c r="M137" s="297">
        <v>19.579999999999998</v>
      </c>
      <c r="N137" s="153">
        <f t="shared" si="20"/>
        <v>20</v>
      </c>
      <c r="O137" s="153">
        <f t="shared" si="21"/>
        <v>19.5</v>
      </c>
      <c r="P137" s="153">
        <f t="shared" si="22"/>
        <v>19</v>
      </c>
      <c r="Q137" s="153">
        <f t="shared" si="23"/>
        <v>18.5</v>
      </c>
      <c r="R137" s="25">
        <v>1</v>
      </c>
      <c r="S137" s="37">
        <v>0.25</v>
      </c>
      <c r="T137" s="37">
        <f t="shared" si="24"/>
        <v>12.5</v>
      </c>
      <c r="U137" s="54">
        <v>8539500000</v>
      </c>
      <c r="V137" s="55">
        <v>3.6999999999999998E-2</v>
      </c>
      <c r="W137" s="103" t="s">
        <v>682</v>
      </c>
      <c r="X137" s="103">
        <v>14.99</v>
      </c>
      <c r="Y137" s="103">
        <v>0.36</v>
      </c>
      <c r="Z137" s="135" t="s">
        <v>395</v>
      </c>
    </row>
    <row r="138" spans="1:26" ht="18" customHeight="1">
      <c r="A138" s="15">
        <v>136</v>
      </c>
      <c r="B138" s="15" t="s">
        <v>684</v>
      </c>
      <c r="C138" s="24" t="s">
        <v>390</v>
      </c>
      <c r="D138" s="16" t="s">
        <v>679</v>
      </c>
      <c r="E138" s="22" t="s">
        <v>391</v>
      </c>
      <c r="F138" s="16" t="s">
        <v>392</v>
      </c>
      <c r="G138" s="16" t="s">
        <v>680</v>
      </c>
      <c r="H138" s="16" t="s">
        <v>392</v>
      </c>
      <c r="I138" s="26" t="s">
        <v>681</v>
      </c>
      <c r="J138" s="15">
        <v>45</v>
      </c>
      <c r="K138" s="146">
        <v>20.6</v>
      </c>
      <c r="L138" s="297">
        <v>16.2</v>
      </c>
      <c r="M138" s="297">
        <v>17.78</v>
      </c>
      <c r="N138" s="153">
        <f t="shared" si="20"/>
        <v>18.2</v>
      </c>
      <c r="O138" s="153">
        <f t="shared" si="21"/>
        <v>17.7</v>
      </c>
      <c r="P138" s="153">
        <f t="shared" si="22"/>
        <v>17.2</v>
      </c>
      <c r="Q138" s="153">
        <f t="shared" si="23"/>
        <v>16.7</v>
      </c>
      <c r="R138" s="25">
        <v>1</v>
      </c>
      <c r="S138" s="37">
        <v>0.25</v>
      </c>
      <c r="T138" s="37">
        <f t="shared" si="24"/>
        <v>11.25</v>
      </c>
      <c r="U138" s="54">
        <v>8539500000</v>
      </c>
      <c r="V138" s="55">
        <v>3.6999999999999998E-2</v>
      </c>
      <c r="W138" s="103" t="s">
        <v>682</v>
      </c>
      <c r="X138" s="103">
        <v>14.99</v>
      </c>
      <c r="Y138" s="103">
        <v>0.36</v>
      </c>
      <c r="Z138" s="135" t="s">
        <v>398</v>
      </c>
    </row>
    <row r="139" spans="1:26" ht="18" customHeight="1">
      <c r="A139" s="15">
        <v>137</v>
      </c>
      <c r="B139" s="15" t="s">
        <v>685</v>
      </c>
      <c r="C139" s="24" t="s">
        <v>390</v>
      </c>
      <c r="D139" s="16" t="s">
        <v>679</v>
      </c>
      <c r="E139" s="22" t="s">
        <v>391</v>
      </c>
      <c r="F139" s="16" t="s">
        <v>392</v>
      </c>
      <c r="G139" s="16" t="s">
        <v>680</v>
      </c>
      <c r="H139" s="16" t="s">
        <v>392</v>
      </c>
      <c r="I139" s="26" t="s">
        <v>681</v>
      </c>
      <c r="J139" s="15">
        <v>45</v>
      </c>
      <c r="K139" s="146">
        <v>20.6</v>
      </c>
      <c r="L139" s="297">
        <v>16.2</v>
      </c>
      <c r="M139" s="297">
        <v>17.78</v>
      </c>
      <c r="N139" s="153">
        <f t="shared" si="20"/>
        <v>18.2</v>
      </c>
      <c r="O139" s="153">
        <f t="shared" si="21"/>
        <v>17.7</v>
      </c>
      <c r="P139" s="153">
        <f t="shared" si="22"/>
        <v>17.2</v>
      </c>
      <c r="Q139" s="153">
        <f t="shared" si="23"/>
        <v>16.7</v>
      </c>
      <c r="R139" s="25">
        <v>1</v>
      </c>
      <c r="S139" s="37">
        <v>0.25</v>
      </c>
      <c r="T139" s="37">
        <f t="shared" si="24"/>
        <v>11.25</v>
      </c>
      <c r="U139" s="54">
        <v>8539500000</v>
      </c>
      <c r="V139" s="55">
        <v>3.6999999999999998E-2</v>
      </c>
      <c r="W139" s="103" t="s">
        <v>682</v>
      </c>
      <c r="X139" s="103">
        <v>14.99</v>
      </c>
      <c r="Y139" s="103">
        <v>0.36</v>
      </c>
      <c r="Z139" s="135" t="s">
        <v>398</v>
      </c>
    </row>
    <row r="140" spans="1:26" ht="18" customHeight="1">
      <c r="A140" s="15">
        <v>138</v>
      </c>
      <c r="B140" s="15" t="s">
        <v>686</v>
      </c>
      <c r="C140" s="24" t="s">
        <v>390</v>
      </c>
      <c r="D140" s="16" t="s">
        <v>679</v>
      </c>
      <c r="E140" s="22" t="s">
        <v>391</v>
      </c>
      <c r="F140" s="16" t="s">
        <v>392</v>
      </c>
      <c r="G140" s="16" t="s">
        <v>680</v>
      </c>
      <c r="H140" s="16" t="s">
        <v>392</v>
      </c>
      <c r="I140" s="26" t="s">
        <v>681</v>
      </c>
      <c r="J140" s="15">
        <v>45</v>
      </c>
      <c r="K140" s="146">
        <v>20.6</v>
      </c>
      <c r="L140" s="297">
        <v>16.2</v>
      </c>
      <c r="M140" s="297">
        <v>17.78</v>
      </c>
      <c r="N140" s="153">
        <f t="shared" si="20"/>
        <v>18.2</v>
      </c>
      <c r="O140" s="153">
        <f t="shared" si="21"/>
        <v>17.7</v>
      </c>
      <c r="P140" s="153">
        <f t="shared" si="22"/>
        <v>17.2</v>
      </c>
      <c r="Q140" s="153">
        <f t="shared" si="23"/>
        <v>16.7</v>
      </c>
      <c r="R140" s="25">
        <v>1</v>
      </c>
      <c r="S140" s="37">
        <v>0.25</v>
      </c>
      <c r="T140" s="37">
        <f t="shared" si="24"/>
        <v>11.25</v>
      </c>
      <c r="U140" s="54">
        <v>8539500000</v>
      </c>
      <c r="V140" s="55">
        <v>3.6999999999999998E-2</v>
      </c>
      <c r="W140" s="103" t="s">
        <v>682</v>
      </c>
      <c r="X140" s="103">
        <v>14.99</v>
      </c>
      <c r="Y140" s="103">
        <v>0.36</v>
      </c>
      <c r="Z140" s="135" t="s">
        <v>401</v>
      </c>
    </row>
    <row r="141" spans="1:26" ht="18" customHeight="1">
      <c r="A141" s="15">
        <v>139</v>
      </c>
      <c r="B141" s="15" t="s">
        <v>687</v>
      </c>
      <c r="C141" s="24" t="s">
        <v>390</v>
      </c>
      <c r="D141" s="16" t="s">
        <v>679</v>
      </c>
      <c r="E141" s="22" t="s">
        <v>391</v>
      </c>
      <c r="F141" s="16" t="s">
        <v>392</v>
      </c>
      <c r="G141" s="16" t="s">
        <v>680</v>
      </c>
      <c r="H141" s="16" t="s">
        <v>392</v>
      </c>
      <c r="I141" s="26" t="s">
        <v>681</v>
      </c>
      <c r="J141" s="15">
        <v>45</v>
      </c>
      <c r="K141" s="146">
        <v>20.6</v>
      </c>
      <c r="L141" s="297">
        <v>16.2</v>
      </c>
      <c r="M141" s="297">
        <v>17.78</v>
      </c>
      <c r="N141" s="153">
        <f t="shared" si="20"/>
        <v>18.2</v>
      </c>
      <c r="O141" s="153">
        <f t="shared" si="21"/>
        <v>17.7</v>
      </c>
      <c r="P141" s="153">
        <f t="shared" si="22"/>
        <v>17.2</v>
      </c>
      <c r="Q141" s="153">
        <f t="shared" si="23"/>
        <v>16.7</v>
      </c>
      <c r="R141" s="25">
        <v>1</v>
      </c>
      <c r="S141" s="37">
        <v>0.25</v>
      </c>
      <c r="T141" s="37">
        <f t="shared" si="24"/>
        <v>11.25</v>
      </c>
      <c r="U141" s="54">
        <v>8539500000</v>
      </c>
      <c r="V141" s="55">
        <v>3.6999999999999998E-2</v>
      </c>
      <c r="W141" s="103" t="s">
        <v>682</v>
      </c>
      <c r="X141" s="103">
        <v>14.99</v>
      </c>
      <c r="Y141" s="103">
        <v>0.36</v>
      </c>
      <c r="Z141" s="135" t="s">
        <v>401</v>
      </c>
    </row>
    <row r="142" spans="1:26" ht="18" customHeight="1">
      <c r="A142" s="15">
        <v>140</v>
      </c>
      <c r="B142" s="15" t="s">
        <v>688</v>
      </c>
      <c r="C142" s="24" t="s">
        <v>390</v>
      </c>
      <c r="D142" s="16" t="s">
        <v>679</v>
      </c>
      <c r="E142" s="22" t="s">
        <v>391</v>
      </c>
      <c r="F142" s="16" t="s">
        <v>392</v>
      </c>
      <c r="G142" s="16" t="s">
        <v>680</v>
      </c>
      <c r="H142" s="16" t="s">
        <v>392</v>
      </c>
      <c r="I142" s="26" t="s">
        <v>681</v>
      </c>
      <c r="J142" s="15">
        <v>45</v>
      </c>
      <c r="K142" s="146">
        <v>20.6</v>
      </c>
      <c r="L142" s="297">
        <v>16.2</v>
      </c>
      <c r="M142" s="297">
        <v>17.78</v>
      </c>
      <c r="N142" s="153">
        <f t="shared" si="20"/>
        <v>18.2</v>
      </c>
      <c r="O142" s="153">
        <f t="shared" si="21"/>
        <v>17.7</v>
      </c>
      <c r="P142" s="153">
        <f t="shared" si="22"/>
        <v>17.2</v>
      </c>
      <c r="Q142" s="153">
        <f t="shared" si="23"/>
        <v>16.7</v>
      </c>
      <c r="R142" s="25">
        <v>1</v>
      </c>
      <c r="S142" s="37">
        <v>0.25</v>
      </c>
      <c r="T142" s="37">
        <f t="shared" si="24"/>
        <v>11.25</v>
      </c>
      <c r="U142" s="54">
        <v>8539500000</v>
      </c>
      <c r="V142" s="55">
        <v>3.6999999999999998E-2</v>
      </c>
      <c r="W142" s="103" t="s">
        <v>682</v>
      </c>
      <c r="X142" s="103">
        <v>14.99</v>
      </c>
      <c r="Y142" s="103">
        <v>0.36</v>
      </c>
      <c r="Z142" s="135" t="s">
        <v>404</v>
      </c>
    </row>
    <row r="143" spans="1:26" ht="18" customHeight="1">
      <c r="A143" s="15">
        <v>141</v>
      </c>
      <c r="B143" s="15" t="s">
        <v>689</v>
      </c>
      <c r="C143" s="24" t="s">
        <v>390</v>
      </c>
      <c r="D143" s="16" t="s">
        <v>679</v>
      </c>
      <c r="E143" s="22" t="s">
        <v>391</v>
      </c>
      <c r="F143" s="16" t="s">
        <v>392</v>
      </c>
      <c r="G143" s="16" t="s">
        <v>680</v>
      </c>
      <c r="H143" s="16" t="s">
        <v>392</v>
      </c>
      <c r="I143" s="26" t="s">
        <v>681</v>
      </c>
      <c r="J143" s="15">
        <v>45</v>
      </c>
      <c r="K143" s="146">
        <v>20.6</v>
      </c>
      <c r="L143" s="297">
        <v>16.2</v>
      </c>
      <c r="M143" s="297">
        <v>17.78</v>
      </c>
      <c r="N143" s="153">
        <f t="shared" si="20"/>
        <v>18.2</v>
      </c>
      <c r="O143" s="153">
        <f t="shared" si="21"/>
        <v>17.7</v>
      </c>
      <c r="P143" s="153">
        <f t="shared" si="22"/>
        <v>17.2</v>
      </c>
      <c r="Q143" s="153">
        <f t="shared" si="23"/>
        <v>16.7</v>
      </c>
      <c r="R143" s="25">
        <v>1</v>
      </c>
      <c r="S143" s="37">
        <v>0.25</v>
      </c>
      <c r="T143" s="37">
        <f t="shared" si="24"/>
        <v>11.25</v>
      </c>
      <c r="U143" s="54">
        <v>8539500000</v>
      </c>
      <c r="V143" s="55">
        <v>3.6999999999999998E-2</v>
      </c>
      <c r="W143" s="103" t="s">
        <v>682</v>
      </c>
      <c r="X143" s="103">
        <v>14.99</v>
      </c>
      <c r="Y143" s="103">
        <v>0.36</v>
      </c>
      <c r="Z143" s="135" t="s">
        <v>404</v>
      </c>
    </row>
    <row r="144" spans="1:26" ht="32.25" customHeight="1">
      <c r="A144" s="74"/>
      <c r="B144" s="113" t="s">
        <v>406</v>
      </c>
      <c r="C144" s="113"/>
      <c r="D144" s="16"/>
      <c r="E144" s="113"/>
      <c r="F144" s="113"/>
      <c r="G144" s="113"/>
      <c r="H144" s="114"/>
      <c r="I144" s="121"/>
      <c r="J144" s="122">
        <f>SUM(J3:J143)</f>
        <v>6079</v>
      </c>
      <c r="K144" s="123">
        <f>SUM(K1:K143)</f>
        <v>1489.3799999999981</v>
      </c>
      <c r="L144" s="124">
        <f>SUM(L3:L143)</f>
        <v>1267.2700000000002</v>
      </c>
      <c r="M144" s="124">
        <f>SUM(M3:M143)</f>
        <v>1489.3799999999994</v>
      </c>
      <c r="N144" s="124">
        <f t="shared" ref="N144:R144" si="25">SUM(N3:N143)</f>
        <v>1558.8700000000008</v>
      </c>
      <c r="O144" s="159">
        <f t="shared" si="25"/>
        <v>1488.3700000000008</v>
      </c>
      <c r="P144" s="124">
        <f t="shared" si="25"/>
        <v>1417.8700000000008</v>
      </c>
      <c r="Q144" s="124">
        <f t="shared" si="25"/>
        <v>1347.3700000000006</v>
      </c>
      <c r="R144" s="113">
        <f t="shared" si="25"/>
        <v>89</v>
      </c>
      <c r="S144" s="125"/>
      <c r="T144" s="125">
        <f>SUM(T3:T143)</f>
        <v>2456.4699999999975</v>
      </c>
      <c r="U144" s="136"/>
      <c r="V144" s="137"/>
      <c r="W144" s="138"/>
      <c r="X144" s="138"/>
      <c r="Y144" s="138"/>
      <c r="Z144" s="139"/>
    </row>
    <row r="145" spans="1:26" ht="18" customHeight="1">
      <c r="I145" s="3"/>
      <c r="N145" s="117" t="s">
        <v>691</v>
      </c>
      <c r="O145" s="160" t="s">
        <v>692</v>
      </c>
      <c r="P145" s="117" t="s">
        <v>693</v>
      </c>
      <c r="Q145" s="117" t="s">
        <v>694</v>
      </c>
      <c r="Z145" s="3"/>
    </row>
    <row r="146" spans="1:26" ht="18" customHeight="1">
      <c r="I146" s="3"/>
      <c r="O146" s="161"/>
      <c r="Z146" s="3"/>
    </row>
    <row r="147" spans="1:26" ht="18" customHeight="1">
      <c r="Z147" s="3"/>
    </row>
    <row r="148" spans="1:26" s="2" customFormat="1" ht="18" customHeight="1">
      <c r="A148" s="115"/>
      <c r="I148" s="127"/>
      <c r="L148" s="115"/>
      <c r="M148" s="115"/>
      <c r="S148" s="129"/>
      <c r="T148" s="129"/>
      <c r="V148" s="140"/>
      <c r="W148" s="141"/>
      <c r="X148" s="141"/>
      <c r="Y148" s="141"/>
      <c r="Z148" s="127"/>
    </row>
    <row r="149" spans="1:26" ht="18" customHeight="1">
      <c r="C149" s="117" t="s">
        <v>695</v>
      </c>
      <c r="Z149" s="3"/>
    </row>
    <row r="150" spans="1:26" ht="18" customHeight="1">
      <c r="C150" s="116" t="s">
        <v>696</v>
      </c>
      <c r="Z150" s="3"/>
    </row>
    <row r="151" spans="1:26" ht="18" customHeight="1">
      <c r="Z151" s="3"/>
    </row>
    <row r="152" spans="1:26" ht="18" customHeight="1">
      <c r="C152" s="117" t="s">
        <v>697</v>
      </c>
      <c r="Z152" s="3"/>
    </row>
    <row r="153" spans="1:26" ht="18" customHeight="1">
      <c r="C153" s="117" t="s">
        <v>698</v>
      </c>
      <c r="Z153" s="3"/>
    </row>
    <row r="154" spans="1:26" ht="18" customHeight="1">
      <c r="Z154" s="3"/>
    </row>
    <row r="155" spans="1:26" ht="18" customHeight="1">
      <c r="Z155" s="3"/>
    </row>
    <row r="156" spans="1:26" ht="18" customHeight="1">
      <c r="Z156" s="3"/>
    </row>
    <row r="157" spans="1:26" ht="18" customHeight="1">
      <c r="Z157" s="3"/>
    </row>
    <row r="158" spans="1:26" ht="18" customHeight="1">
      <c r="Z158" s="3"/>
    </row>
    <row r="159" spans="1:26" ht="18" customHeight="1">
      <c r="Z159" s="3"/>
    </row>
    <row r="160" spans="1:26" ht="18" customHeight="1">
      <c r="Z160" s="3"/>
    </row>
    <row r="161" spans="26:26" ht="18" customHeight="1">
      <c r="Z161" s="3"/>
    </row>
    <row r="162" spans="26:26" ht="18" customHeight="1">
      <c r="Z162" s="3"/>
    </row>
    <row r="163" spans="26:26" ht="18" customHeight="1">
      <c r="Z163" s="3"/>
    </row>
    <row r="164" spans="26:26" ht="18" customHeight="1">
      <c r="Z164" s="3"/>
    </row>
    <row r="165" spans="26:26" ht="18" customHeight="1">
      <c r="Z165" s="3"/>
    </row>
    <row r="166" spans="26:26" ht="18" customHeight="1">
      <c r="Z166" s="3"/>
    </row>
    <row r="167" spans="26:26" ht="18" customHeight="1">
      <c r="Z167" s="3"/>
    </row>
    <row r="168" spans="26:26" ht="18" customHeight="1">
      <c r="Z168" s="3"/>
    </row>
    <row r="169" spans="26:26" ht="18" customHeight="1">
      <c r="Z169" s="3"/>
    </row>
    <row r="170" spans="26:26" ht="18" customHeight="1">
      <c r="Z170" s="3"/>
    </row>
    <row r="171" spans="26:26" ht="18" customHeight="1">
      <c r="Z171" s="3"/>
    </row>
    <row r="172" spans="26:26" ht="18" customHeight="1">
      <c r="Z172" s="3"/>
    </row>
    <row r="173" spans="26:26" ht="18" customHeight="1">
      <c r="Z173" s="3"/>
    </row>
    <row r="174" spans="26:26" ht="18" customHeight="1">
      <c r="Z174" s="3"/>
    </row>
    <row r="175" spans="26:26" ht="18" customHeight="1">
      <c r="Z175" s="3"/>
    </row>
    <row r="176" spans="26:26" ht="18" customHeight="1">
      <c r="Z176" s="3"/>
    </row>
    <row r="177" spans="26:26" ht="18" customHeight="1">
      <c r="Z177" s="3"/>
    </row>
    <row r="178" spans="26:26" ht="18" customHeight="1">
      <c r="Z178" s="3"/>
    </row>
    <row r="179" spans="26:26" ht="18" customHeight="1">
      <c r="Z179" s="3"/>
    </row>
    <row r="180" spans="26:26" ht="18" customHeight="1">
      <c r="Z180" s="3"/>
    </row>
    <row r="181" spans="26:26" ht="18" customHeight="1">
      <c r="Z181" s="3"/>
    </row>
    <row r="182" spans="26:26" ht="18" customHeight="1">
      <c r="Z182" s="3"/>
    </row>
    <row r="183" spans="26:26" ht="18" customHeight="1">
      <c r="Z183" s="3"/>
    </row>
    <row r="184" spans="26:26" ht="18" customHeight="1">
      <c r="Z184" s="3"/>
    </row>
    <row r="185" spans="26:26" ht="18" customHeight="1">
      <c r="Z185" s="3"/>
    </row>
    <row r="186" spans="26:26" ht="18" customHeight="1">
      <c r="Z186" s="3"/>
    </row>
    <row r="187" spans="26:26" ht="18" customHeight="1">
      <c r="Z187" s="3"/>
    </row>
    <row r="188" spans="26:26" ht="18" customHeight="1">
      <c r="Z188" s="3"/>
    </row>
    <row r="189" spans="26:26" ht="18" customHeight="1">
      <c r="Z189" s="3"/>
    </row>
    <row r="190" spans="26:26" ht="18" customHeight="1">
      <c r="Z190" s="3"/>
    </row>
    <row r="191" spans="26:26" ht="18" customHeight="1">
      <c r="Z191" s="3"/>
    </row>
    <row r="192" spans="26:26" ht="18" customHeight="1">
      <c r="Z192" s="3"/>
    </row>
    <row r="193" spans="26:26" ht="18" customHeight="1">
      <c r="Z193" s="3"/>
    </row>
    <row r="194" spans="26:26" ht="18" customHeight="1">
      <c r="Z194" s="3"/>
    </row>
  </sheetData>
  <mergeCells count="85">
    <mergeCell ref="C1:E1"/>
    <mergeCell ref="B18:B19"/>
    <mergeCell ref="B20:B21"/>
    <mergeCell ref="B22:B23"/>
    <mergeCell ref="B24:B25"/>
    <mergeCell ref="B26:B27"/>
    <mergeCell ref="B28:B29"/>
    <mergeCell ref="B30:B31"/>
    <mergeCell ref="B32:B33"/>
    <mergeCell ref="B34:B35"/>
    <mergeCell ref="B36:B37"/>
    <mergeCell ref="B39:B40"/>
    <mergeCell ref="B41:B42"/>
    <mergeCell ref="B43:B45"/>
    <mergeCell ref="B46:B48"/>
    <mergeCell ref="B49:B51"/>
    <mergeCell ref="B53:B55"/>
    <mergeCell ref="B57:B59"/>
    <mergeCell ref="B64:B66"/>
    <mergeCell ref="B68:B70"/>
    <mergeCell ref="B73:B74"/>
    <mergeCell ref="B75:B78"/>
    <mergeCell ref="B79:B84"/>
    <mergeCell ref="B85:B89"/>
    <mergeCell ref="B90:B91"/>
    <mergeCell ref="B92:B93"/>
    <mergeCell ref="B94:B100"/>
    <mergeCell ref="B101:B105"/>
    <mergeCell ref="B115:B116"/>
    <mergeCell ref="K18:K19"/>
    <mergeCell ref="K20:K21"/>
    <mergeCell ref="K22:K23"/>
    <mergeCell ref="K24:K25"/>
    <mergeCell ref="K26:K27"/>
    <mergeCell ref="K28:K29"/>
    <mergeCell ref="K30:K31"/>
    <mergeCell ref="K32:K33"/>
    <mergeCell ref="K34:K35"/>
    <mergeCell ref="K36:K37"/>
    <mergeCell ref="K39:K40"/>
    <mergeCell ref="K41:K42"/>
    <mergeCell ref="K43:K45"/>
    <mergeCell ref="K46:K48"/>
    <mergeCell ref="K49:K51"/>
    <mergeCell ref="K53:K55"/>
    <mergeCell ref="K57:K59"/>
    <mergeCell ref="K64:K66"/>
    <mergeCell ref="K68:K70"/>
    <mergeCell ref="K73:K74"/>
    <mergeCell ref="K75:K78"/>
    <mergeCell ref="K79:K84"/>
    <mergeCell ref="K85:K89"/>
    <mergeCell ref="K90:K91"/>
    <mergeCell ref="K92:K93"/>
    <mergeCell ref="K94:K100"/>
    <mergeCell ref="K101:K105"/>
    <mergeCell ref="K115:K116"/>
    <mergeCell ref="R18:R19"/>
    <mergeCell ref="R20:R21"/>
    <mergeCell ref="R22:R23"/>
    <mergeCell ref="R24:R25"/>
    <mergeCell ref="R26:R27"/>
    <mergeCell ref="R28:R29"/>
    <mergeCell ref="R30:R31"/>
    <mergeCell ref="R32:R33"/>
    <mergeCell ref="R34:R35"/>
    <mergeCell ref="R36:R37"/>
    <mergeCell ref="R39:R40"/>
    <mergeCell ref="R41:R42"/>
    <mergeCell ref="R43:R45"/>
    <mergeCell ref="R46:R48"/>
    <mergeCell ref="R49:R51"/>
    <mergeCell ref="R53:R55"/>
    <mergeCell ref="R57:R59"/>
    <mergeCell ref="R64:R66"/>
    <mergeCell ref="R68:R70"/>
    <mergeCell ref="R73:R74"/>
    <mergeCell ref="R94:R100"/>
    <mergeCell ref="R101:R105"/>
    <mergeCell ref="R115:R116"/>
    <mergeCell ref="R75:R78"/>
    <mergeCell ref="R79:R84"/>
    <mergeCell ref="R85:R89"/>
    <mergeCell ref="R90:R91"/>
    <mergeCell ref="R92:R93"/>
  </mergeCells>
  <conditionalFormatting sqref="D46">
    <cfRule type="duplicateValues" dxfId="3" priority="1" stopIfTrue="1"/>
  </conditionalFormatting>
  <hyperlinks>
    <hyperlink ref="Z19" r:id="rId1" xr:uid="{00000000-0004-0000-0200-000000000000}"/>
    <hyperlink ref="Z21" r:id="rId2" xr:uid="{00000000-0004-0000-0200-000001000000}"/>
    <hyperlink ref="Z23" r:id="rId3" xr:uid="{00000000-0004-0000-0200-000002000000}"/>
    <hyperlink ref="Z25" r:id="rId4" xr:uid="{00000000-0004-0000-0200-000003000000}"/>
    <hyperlink ref="Z27" r:id="rId5" xr:uid="{00000000-0004-0000-0200-000004000000}"/>
    <hyperlink ref="Z29" r:id="rId6" xr:uid="{00000000-0004-0000-0200-000005000000}"/>
    <hyperlink ref="Z31" r:id="rId7" xr:uid="{00000000-0004-0000-0200-000006000000}"/>
    <hyperlink ref="Z33" r:id="rId8" xr:uid="{00000000-0004-0000-0200-000007000000}"/>
    <hyperlink ref="Z35" r:id="rId9" xr:uid="{00000000-0004-0000-0200-000008000000}"/>
    <hyperlink ref="Z37" r:id="rId10" xr:uid="{00000000-0004-0000-0200-000009000000}"/>
    <hyperlink ref="Z127" r:id="rId11" xr:uid="{00000000-0004-0000-0200-00000A000000}"/>
    <hyperlink ref="Z128" r:id="rId12" xr:uid="{00000000-0004-0000-0200-00000B000000}"/>
    <hyperlink ref="Z129" r:id="rId13" xr:uid="{00000000-0004-0000-0200-00000C000000}"/>
    <hyperlink ref="Z130" r:id="rId14" xr:uid="{00000000-0004-0000-0200-00000D000000}"/>
    <hyperlink ref="Z131" r:id="rId15" xr:uid="{00000000-0004-0000-0200-00000E000000}"/>
    <hyperlink ref="Z132" r:id="rId16" xr:uid="{00000000-0004-0000-0200-00000F000000}"/>
    <hyperlink ref="Z133" r:id="rId17" xr:uid="{00000000-0004-0000-0200-000010000000}"/>
    <hyperlink ref="Z134" r:id="rId18" xr:uid="{00000000-0004-0000-0200-000011000000}"/>
    <hyperlink ref="Z135" r:id="rId19" xr:uid="{00000000-0004-0000-0200-000012000000}"/>
    <hyperlink ref="Z3" r:id="rId20" xr:uid="{00000000-0004-0000-0200-000013000000}"/>
    <hyperlink ref="Z106" r:id="rId21" xr:uid="{00000000-0004-0000-0200-000014000000}"/>
    <hyperlink ref="Z18" r:id="rId22" xr:uid="{00000000-0004-0000-0200-000015000000}"/>
    <hyperlink ref="Z38" r:id="rId23" xr:uid="{00000000-0004-0000-0200-000016000000}"/>
    <hyperlink ref="Z47" r:id="rId24" xr:uid="{00000000-0004-0000-0200-000017000000}"/>
    <hyperlink ref="Z71" r:id="rId25" xr:uid="{00000000-0004-0000-0200-000018000000}"/>
    <hyperlink ref="Z136" r:id="rId26" xr:uid="{00000000-0004-0000-0200-000019000000}"/>
    <hyperlink ref="Z124" r:id="rId27" xr:uid="{00000000-0004-0000-0200-00001A000000}"/>
    <hyperlink ref="Z121" r:id="rId28" xr:uid="{00000000-0004-0000-0200-00001B000000}"/>
    <hyperlink ref="Z116" r:id="rId29" xr:uid="{00000000-0004-0000-0200-00001C000000}"/>
    <hyperlink ref="Z111" r:id="rId30" xr:uid="{00000000-0004-0000-0200-00001D000000}"/>
    <hyperlink ref="Z115" r:id="rId31" xr:uid="{00000000-0004-0000-0200-00001E000000}"/>
    <hyperlink ref="Z48" r:id="rId32" xr:uid="{00000000-0004-0000-0200-00001F000000}"/>
    <hyperlink ref="Z52" r:id="rId33" xr:uid="{00000000-0004-0000-0200-000020000000}"/>
    <hyperlink ref="Z56" r:id="rId34" display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xr:uid="{00000000-0004-0000-0200-000021000000}"/>
    <hyperlink ref="Z40" r:id="rId35" xr:uid="{00000000-0004-0000-0200-000022000000}"/>
    <hyperlink ref="Z55" r:id="rId36" xr:uid="{00000000-0004-0000-0200-000023000000}"/>
    <hyperlink ref="Z65" r:id="rId37" xr:uid="{00000000-0004-0000-0200-000024000000}"/>
    <hyperlink ref="Z100" r:id="rId38" xr:uid="{00000000-0004-0000-0200-000025000000}"/>
    <hyperlink ref="Z96" r:id="rId39" xr:uid="{00000000-0004-0000-0200-000026000000}"/>
    <hyperlink ref="Z92" r:id="rId40" xr:uid="{00000000-0004-0000-0200-000027000000}"/>
    <hyperlink ref="Z78" r:id="rId41" xr:uid="{00000000-0004-0000-0200-000028000000}"/>
    <hyperlink ref="Z79" r:id="rId42" xr:uid="{00000000-0004-0000-0200-000029000000}"/>
    <hyperlink ref="Z76" r:id="rId43" xr:uid="{00000000-0004-0000-0200-00002A000000}"/>
    <hyperlink ref="Z39" r:id="rId44" xr:uid="{00000000-0004-0000-0200-00002B000000}"/>
    <hyperlink ref="Z41" r:id="rId45" xr:uid="{00000000-0004-0000-0200-00002C000000}"/>
    <hyperlink ref="Z42" r:id="rId46" xr:uid="{00000000-0004-0000-0200-00002D000000}"/>
    <hyperlink ref="Z43" r:id="rId47" xr:uid="{00000000-0004-0000-0200-00002E000000}"/>
    <hyperlink ref="Z44" r:id="rId48" xr:uid="{00000000-0004-0000-0200-00002F000000}"/>
    <hyperlink ref="Z45" r:id="rId49" xr:uid="{00000000-0004-0000-0200-000030000000}"/>
    <hyperlink ref="Z46" r:id="rId50" xr:uid="{00000000-0004-0000-0200-000031000000}"/>
    <hyperlink ref="Z49" r:id="rId51" xr:uid="{00000000-0004-0000-0200-000032000000}"/>
    <hyperlink ref="Z51" r:id="rId52" xr:uid="{00000000-0004-0000-0200-000033000000}"/>
    <hyperlink ref="Z53" r:id="rId53" xr:uid="{00000000-0004-0000-0200-000034000000}"/>
    <hyperlink ref="Z54" r:id="rId54" xr:uid="{00000000-0004-0000-0200-000035000000}"/>
    <hyperlink ref="Z57" r:id="rId55" xr:uid="{00000000-0004-0000-0200-000036000000}"/>
    <hyperlink ref="Z59" r:id="rId56" xr:uid="{00000000-0004-0000-0200-000037000000}"/>
    <hyperlink ref="Z64" r:id="rId57" xr:uid="{00000000-0004-0000-0200-000038000000}"/>
    <hyperlink ref="Z66" r:id="rId58" xr:uid="{00000000-0004-0000-0200-000039000000}"/>
    <hyperlink ref="Z69" r:id="rId59" xr:uid="{00000000-0004-0000-0200-00003A000000}"/>
    <hyperlink ref="Z74" r:id="rId60" xr:uid="{00000000-0004-0000-0200-00003B000000}"/>
    <hyperlink ref="Z80" r:id="rId61" xr:uid="{00000000-0004-0000-0200-00003C000000}"/>
    <hyperlink ref="Z81" r:id="rId62" xr:uid="{00000000-0004-0000-0200-00003D000000}"/>
    <hyperlink ref="Z82" r:id="rId63" xr:uid="{00000000-0004-0000-0200-00003E000000}"/>
    <hyperlink ref="Z84" r:id="rId64" xr:uid="{00000000-0004-0000-0200-00003F000000}"/>
    <hyperlink ref="Z85" r:id="rId65" xr:uid="{00000000-0004-0000-0200-000040000000}"/>
    <hyperlink ref="Z86" r:id="rId66" xr:uid="{00000000-0004-0000-0200-000041000000}"/>
    <hyperlink ref="Z87" r:id="rId67" xr:uid="{00000000-0004-0000-0200-000042000000}"/>
    <hyperlink ref="Z88" r:id="rId68" xr:uid="{00000000-0004-0000-0200-000043000000}"/>
    <hyperlink ref="Z89" r:id="rId69" xr:uid="{00000000-0004-0000-0200-000044000000}"/>
    <hyperlink ref="Z90" r:id="rId70" display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xr:uid="{00000000-0004-0000-0200-000045000000}"/>
    <hyperlink ref="Z91" r:id="rId71" xr:uid="{00000000-0004-0000-0200-000046000000}"/>
    <hyperlink ref="Z93" r:id="rId72" xr:uid="{00000000-0004-0000-0200-000047000000}"/>
    <hyperlink ref="Z95" r:id="rId73" xr:uid="{00000000-0004-0000-0200-000048000000}"/>
    <hyperlink ref="Z97" r:id="rId74" xr:uid="{00000000-0004-0000-0200-000049000000}"/>
    <hyperlink ref="Z98" r:id="rId75" xr:uid="{00000000-0004-0000-0200-00004A000000}"/>
    <hyperlink ref="Z99" r:id="rId76" xr:uid="{00000000-0004-0000-0200-00004B000000}"/>
    <hyperlink ref="Z104" r:id="rId77" xr:uid="{00000000-0004-0000-0200-00004C000000}"/>
    <hyperlink ref="Z101" r:id="rId78" xr:uid="{00000000-0004-0000-0200-00004D000000}"/>
    <hyperlink ref="Z102" r:id="rId79" xr:uid="{00000000-0004-0000-0200-00004E000000}"/>
  </hyperlinks>
  <pageMargins left="0.75" right="0.75" top="1" bottom="1" header="0.51180555555555596" footer="0.51180555555555596"/>
  <pageSetup paperSize="9" orientation="portrait" verticalDpi="0" r:id="rId80"/>
  <drawing r:id="rId8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FA194"/>
  <sheetViews>
    <sheetView topLeftCell="A139" workbookViewId="0">
      <selection activeCell="K5" sqref="K5"/>
    </sheetView>
  </sheetViews>
  <sheetFormatPr defaultColWidth="11.28515625" defaultRowHeight="18" customHeight="1"/>
  <cols>
    <col min="1" max="1" width="4.7109375" style="4" customWidth="1"/>
    <col min="2" max="2" width="6.42578125" style="3" customWidth="1"/>
    <col min="3" max="3" width="6.140625" style="3" customWidth="1"/>
    <col min="4" max="4" width="22" style="3" customWidth="1"/>
    <col min="5" max="5" width="13.42578125" style="3" customWidth="1"/>
    <col min="6" max="8" width="4.42578125" style="3" customWidth="1"/>
    <col min="9" max="9" width="4.42578125" style="5" customWidth="1"/>
    <col min="10" max="10" width="9.42578125" style="3" customWidth="1"/>
    <col min="11" max="11" width="16.5703125" style="3" customWidth="1"/>
    <col min="12" max="12" width="11.42578125" style="3" customWidth="1"/>
    <col min="13" max="13" width="6.7109375" style="3" customWidth="1"/>
    <col min="14" max="14" width="8" style="6" customWidth="1"/>
    <col min="15" max="15" width="10.42578125" style="6" customWidth="1"/>
    <col min="16" max="16" width="13" style="3" customWidth="1"/>
    <col min="17" max="17" width="13" style="7" customWidth="1"/>
    <col min="18" max="20" width="13" style="8" customWidth="1"/>
    <col min="21" max="21" width="16.140625" style="9" customWidth="1"/>
    <col min="22" max="16381" width="11.28515625" style="3"/>
  </cols>
  <sheetData>
    <row r="1" spans="1:22" s="2" customFormat="1" ht="18" customHeight="1">
      <c r="A1" s="10"/>
      <c r="B1" s="11" t="s">
        <v>412</v>
      </c>
      <c r="C1" s="354" t="s">
        <v>413</v>
      </c>
      <c r="D1" s="355"/>
      <c r="E1" s="356"/>
      <c r="F1" s="10"/>
      <c r="G1" s="10"/>
      <c r="H1" s="10"/>
      <c r="I1" s="10"/>
      <c r="J1" s="10" t="s">
        <v>414</v>
      </c>
      <c r="K1" s="144"/>
      <c r="L1" s="11"/>
      <c r="M1" s="11" t="s">
        <v>415</v>
      </c>
      <c r="N1" s="31" t="s">
        <v>17</v>
      </c>
      <c r="O1" s="31" t="s">
        <v>18</v>
      </c>
      <c r="P1" s="46"/>
      <c r="Q1" s="47"/>
      <c r="R1" s="48"/>
      <c r="S1" s="48"/>
      <c r="T1" s="48"/>
      <c r="U1" s="46"/>
      <c r="V1" s="49" t="s">
        <v>416</v>
      </c>
    </row>
    <row r="2" spans="1:22" s="2" customFormat="1" ht="18" customHeight="1">
      <c r="A2" s="10"/>
      <c r="B2" s="12" t="s">
        <v>21</v>
      </c>
      <c r="C2" s="13" t="s">
        <v>417</v>
      </c>
      <c r="D2" s="14" t="s">
        <v>798</v>
      </c>
      <c r="E2" s="13" t="s">
        <v>418</v>
      </c>
      <c r="F2" s="13" t="s">
        <v>419</v>
      </c>
      <c r="G2" s="13" t="s">
        <v>420</v>
      </c>
      <c r="H2" s="13" t="s">
        <v>421</v>
      </c>
      <c r="I2" s="13" t="s">
        <v>422</v>
      </c>
      <c r="J2" s="10" t="s">
        <v>28</v>
      </c>
      <c r="K2" s="145" t="s">
        <v>799</v>
      </c>
      <c r="L2" s="12" t="s">
        <v>800</v>
      </c>
      <c r="M2" s="12" t="s">
        <v>31</v>
      </c>
      <c r="N2" s="32" t="s">
        <v>423</v>
      </c>
      <c r="O2" s="32" t="s">
        <v>797</v>
      </c>
      <c r="P2" s="10" t="s">
        <v>762</v>
      </c>
      <c r="Q2" s="50" t="s">
        <v>801</v>
      </c>
      <c r="R2" s="51" t="s">
        <v>802</v>
      </c>
      <c r="S2" s="51" t="s">
        <v>803</v>
      </c>
      <c r="T2" s="51" t="s">
        <v>804</v>
      </c>
      <c r="U2" s="52" t="s">
        <v>424</v>
      </c>
    </row>
    <row r="3" spans="1:22" s="3" customFormat="1" ht="18" customHeight="1">
      <c r="A3" s="15">
        <v>1</v>
      </c>
      <c r="B3" s="15" t="s">
        <v>425</v>
      </c>
      <c r="C3" s="16" t="s">
        <v>39</v>
      </c>
      <c r="D3" s="17" t="s">
        <v>426</v>
      </c>
      <c r="E3" s="18" t="s">
        <v>40</v>
      </c>
      <c r="F3" s="19" t="s">
        <v>41</v>
      </c>
      <c r="G3" s="20" t="s">
        <v>427</v>
      </c>
      <c r="H3" s="21" t="s">
        <v>41</v>
      </c>
      <c r="I3" s="20" t="s">
        <v>428</v>
      </c>
      <c r="J3" s="33">
        <v>32</v>
      </c>
      <c r="K3" s="146">
        <v>14.94</v>
      </c>
      <c r="L3" s="39">
        <v>14.94</v>
      </c>
      <c r="M3" s="36">
        <v>1</v>
      </c>
      <c r="N3" s="37">
        <v>0.55000000000000004</v>
      </c>
      <c r="O3" s="53">
        <f t="shared" ref="O3:O66" si="0">N3*J3</f>
        <v>17.600000000000001</v>
      </c>
      <c r="P3" s="308" t="s">
        <v>764</v>
      </c>
      <c r="Q3" s="55">
        <v>0.12</v>
      </c>
      <c r="R3" s="16" t="s">
        <v>429</v>
      </c>
      <c r="S3" s="16">
        <v>17.989999999999998</v>
      </c>
      <c r="T3" s="16">
        <v>0.42</v>
      </c>
      <c r="U3" s="56" t="s">
        <v>44</v>
      </c>
    </row>
    <row r="4" spans="1:22" s="3" customFormat="1" ht="18" customHeight="1">
      <c r="A4" s="15">
        <v>2</v>
      </c>
      <c r="B4" s="15" t="s">
        <v>430</v>
      </c>
      <c r="C4" s="16" t="s">
        <v>39</v>
      </c>
      <c r="D4" s="17" t="s">
        <v>426</v>
      </c>
      <c r="E4" s="22" t="s">
        <v>40</v>
      </c>
      <c r="F4" s="19" t="s">
        <v>41</v>
      </c>
      <c r="G4" s="20" t="s">
        <v>427</v>
      </c>
      <c r="H4" s="21" t="s">
        <v>41</v>
      </c>
      <c r="I4" s="20" t="s">
        <v>428</v>
      </c>
      <c r="J4" s="33">
        <v>32</v>
      </c>
      <c r="K4" s="146">
        <v>14.94</v>
      </c>
      <c r="L4" s="39">
        <v>14.94</v>
      </c>
      <c r="M4" s="36">
        <v>1</v>
      </c>
      <c r="N4" s="37">
        <v>0.55000000000000004</v>
      </c>
      <c r="O4" s="53">
        <f t="shared" si="0"/>
        <v>17.600000000000001</v>
      </c>
      <c r="P4" s="308" t="s">
        <v>764</v>
      </c>
      <c r="Q4" s="55">
        <v>0.12</v>
      </c>
      <c r="R4" s="16" t="s">
        <v>429</v>
      </c>
      <c r="S4" s="16">
        <v>17.989999999999998</v>
      </c>
      <c r="T4" s="16">
        <v>0.42</v>
      </c>
      <c r="U4" s="57" t="s">
        <v>44</v>
      </c>
    </row>
    <row r="5" spans="1:22" s="3" customFormat="1" ht="18" customHeight="1">
      <c r="A5" s="15">
        <v>3</v>
      </c>
      <c r="B5" s="15" t="s">
        <v>431</v>
      </c>
      <c r="C5" s="16" t="s">
        <v>39</v>
      </c>
      <c r="D5" s="17" t="s">
        <v>426</v>
      </c>
      <c r="E5" s="22" t="s">
        <v>40</v>
      </c>
      <c r="F5" s="19" t="s">
        <v>41</v>
      </c>
      <c r="G5" s="20" t="s">
        <v>427</v>
      </c>
      <c r="H5" s="21" t="s">
        <v>41</v>
      </c>
      <c r="I5" s="20" t="s">
        <v>428</v>
      </c>
      <c r="J5" s="33">
        <v>32</v>
      </c>
      <c r="K5" s="146">
        <v>14.94</v>
      </c>
      <c r="L5" s="39">
        <v>14.94</v>
      </c>
      <c r="M5" s="36">
        <v>1</v>
      </c>
      <c r="N5" s="37">
        <v>0.55000000000000004</v>
      </c>
      <c r="O5" s="53">
        <f t="shared" si="0"/>
        <v>17.600000000000001</v>
      </c>
      <c r="P5" s="308" t="s">
        <v>764</v>
      </c>
      <c r="Q5" s="55">
        <v>0.12</v>
      </c>
      <c r="R5" s="16" t="s">
        <v>429</v>
      </c>
      <c r="S5" s="16">
        <v>17.989999999999998</v>
      </c>
      <c r="T5" s="16">
        <v>0.42</v>
      </c>
      <c r="U5" s="57" t="s">
        <v>44</v>
      </c>
    </row>
    <row r="6" spans="1:22" s="3" customFormat="1" ht="18" customHeight="1">
      <c r="A6" s="15">
        <v>4</v>
      </c>
      <c r="B6" s="15" t="s">
        <v>432</v>
      </c>
      <c r="C6" s="16" t="s">
        <v>39</v>
      </c>
      <c r="D6" s="17" t="s">
        <v>426</v>
      </c>
      <c r="E6" s="22" t="s">
        <v>40</v>
      </c>
      <c r="F6" s="19" t="s">
        <v>41</v>
      </c>
      <c r="G6" s="20" t="s">
        <v>427</v>
      </c>
      <c r="H6" s="21" t="s">
        <v>41</v>
      </c>
      <c r="I6" s="20" t="s">
        <v>428</v>
      </c>
      <c r="J6" s="33">
        <v>32</v>
      </c>
      <c r="K6" s="146">
        <v>14.94</v>
      </c>
      <c r="L6" s="39">
        <v>14.94</v>
      </c>
      <c r="M6" s="36">
        <v>1</v>
      </c>
      <c r="N6" s="37">
        <v>0.55000000000000004</v>
      </c>
      <c r="O6" s="53">
        <f t="shared" si="0"/>
        <v>17.600000000000001</v>
      </c>
      <c r="P6" s="308" t="s">
        <v>764</v>
      </c>
      <c r="Q6" s="55">
        <v>0.12</v>
      </c>
      <c r="R6" s="16" t="s">
        <v>429</v>
      </c>
      <c r="S6" s="16">
        <v>17.989999999999998</v>
      </c>
      <c r="T6" s="16">
        <v>0.42</v>
      </c>
      <c r="U6" s="57" t="s">
        <v>44</v>
      </c>
    </row>
    <row r="7" spans="1:22" s="3" customFormat="1" ht="18" customHeight="1">
      <c r="A7" s="15">
        <v>5</v>
      </c>
      <c r="B7" s="15" t="s">
        <v>433</v>
      </c>
      <c r="C7" s="16" t="s">
        <v>39</v>
      </c>
      <c r="D7" s="17" t="s">
        <v>426</v>
      </c>
      <c r="E7" s="22" t="s">
        <v>40</v>
      </c>
      <c r="F7" s="19" t="s">
        <v>41</v>
      </c>
      <c r="G7" s="20" t="s">
        <v>427</v>
      </c>
      <c r="H7" s="21" t="s">
        <v>41</v>
      </c>
      <c r="I7" s="20" t="s">
        <v>428</v>
      </c>
      <c r="J7" s="33">
        <v>32</v>
      </c>
      <c r="K7" s="146">
        <v>14.94</v>
      </c>
      <c r="L7" s="39">
        <v>14.94</v>
      </c>
      <c r="M7" s="36">
        <v>1</v>
      </c>
      <c r="N7" s="37">
        <v>0.55000000000000004</v>
      </c>
      <c r="O7" s="53">
        <f t="shared" si="0"/>
        <v>17.600000000000001</v>
      </c>
      <c r="P7" s="308" t="s">
        <v>764</v>
      </c>
      <c r="Q7" s="55">
        <v>0.12</v>
      </c>
      <c r="R7" s="16" t="s">
        <v>429</v>
      </c>
      <c r="S7" s="16">
        <v>17.989999999999998</v>
      </c>
      <c r="T7" s="16">
        <v>0.42</v>
      </c>
      <c r="U7" s="57" t="s">
        <v>44</v>
      </c>
    </row>
    <row r="8" spans="1:22" s="3" customFormat="1" ht="18" customHeight="1">
      <c r="A8" s="15">
        <v>6</v>
      </c>
      <c r="B8" s="15" t="s">
        <v>434</v>
      </c>
      <c r="C8" s="16" t="s">
        <v>39</v>
      </c>
      <c r="D8" s="17" t="s">
        <v>426</v>
      </c>
      <c r="E8" s="22" t="s">
        <v>40</v>
      </c>
      <c r="F8" s="19" t="s">
        <v>41</v>
      </c>
      <c r="G8" s="20" t="s">
        <v>427</v>
      </c>
      <c r="H8" s="21" t="s">
        <v>41</v>
      </c>
      <c r="I8" s="20" t="s">
        <v>428</v>
      </c>
      <c r="J8" s="33">
        <v>32</v>
      </c>
      <c r="K8" s="146">
        <v>14.94</v>
      </c>
      <c r="L8" s="39">
        <v>14.94</v>
      </c>
      <c r="M8" s="36">
        <v>1</v>
      </c>
      <c r="N8" s="37">
        <v>0.55000000000000004</v>
      </c>
      <c r="O8" s="53">
        <f t="shared" si="0"/>
        <v>17.600000000000001</v>
      </c>
      <c r="P8" s="308" t="s">
        <v>764</v>
      </c>
      <c r="Q8" s="55">
        <v>0.12</v>
      </c>
      <c r="R8" s="16" t="s">
        <v>429</v>
      </c>
      <c r="S8" s="16">
        <v>17.989999999999998</v>
      </c>
      <c r="T8" s="16">
        <v>0.42</v>
      </c>
      <c r="U8" s="57" t="s">
        <v>44</v>
      </c>
    </row>
    <row r="9" spans="1:22" s="3" customFormat="1" ht="18" customHeight="1">
      <c r="A9" s="15">
        <v>7</v>
      </c>
      <c r="B9" s="15" t="s">
        <v>435</v>
      </c>
      <c r="C9" s="16" t="s">
        <v>39</v>
      </c>
      <c r="D9" s="17" t="s">
        <v>426</v>
      </c>
      <c r="E9" s="22" t="s">
        <v>40</v>
      </c>
      <c r="F9" s="19" t="s">
        <v>41</v>
      </c>
      <c r="G9" s="20" t="s">
        <v>427</v>
      </c>
      <c r="H9" s="21" t="s">
        <v>41</v>
      </c>
      <c r="I9" s="20" t="s">
        <v>428</v>
      </c>
      <c r="J9" s="33">
        <v>32</v>
      </c>
      <c r="K9" s="146">
        <v>14.94</v>
      </c>
      <c r="L9" s="39">
        <v>14.94</v>
      </c>
      <c r="M9" s="36">
        <v>1</v>
      </c>
      <c r="N9" s="37">
        <v>0.55000000000000004</v>
      </c>
      <c r="O9" s="53">
        <f t="shared" si="0"/>
        <v>17.600000000000001</v>
      </c>
      <c r="P9" s="308" t="s">
        <v>764</v>
      </c>
      <c r="Q9" s="55">
        <v>0.12</v>
      </c>
      <c r="R9" s="16" t="s">
        <v>429</v>
      </c>
      <c r="S9" s="16">
        <v>17.989999999999998</v>
      </c>
      <c r="T9" s="16">
        <v>0.42</v>
      </c>
      <c r="U9" s="57" t="s">
        <v>44</v>
      </c>
    </row>
    <row r="10" spans="1:22" s="3" customFormat="1" ht="18" customHeight="1">
      <c r="A10" s="15">
        <v>8</v>
      </c>
      <c r="B10" s="15" t="s">
        <v>436</v>
      </c>
      <c r="C10" s="16" t="s">
        <v>39</v>
      </c>
      <c r="D10" s="17" t="s">
        <v>426</v>
      </c>
      <c r="E10" s="22" t="s">
        <v>40</v>
      </c>
      <c r="F10" s="19" t="s">
        <v>41</v>
      </c>
      <c r="G10" s="20" t="s">
        <v>427</v>
      </c>
      <c r="H10" s="21" t="s">
        <v>41</v>
      </c>
      <c r="I10" s="20" t="s">
        <v>428</v>
      </c>
      <c r="J10" s="33">
        <v>32</v>
      </c>
      <c r="K10" s="146">
        <v>14.94</v>
      </c>
      <c r="L10" s="39">
        <v>14.94</v>
      </c>
      <c r="M10" s="36">
        <v>1</v>
      </c>
      <c r="N10" s="37">
        <v>0.55000000000000004</v>
      </c>
      <c r="O10" s="53">
        <f t="shared" si="0"/>
        <v>17.600000000000001</v>
      </c>
      <c r="P10" s="308" t="s">
        <v>764</v>
      </c>
      <c r="Q10" s="55">
        <v>0.12</v>
      </c>
      <c r="R10" s="16" t="s">
        <v>429</v>
      </c>
      <c r="S10" s="16">
        <v>17.989999999999998</v>
      </c>
      <c r="T10" s="16">
        <v>0.42</v>
      </c>
      <c r="U10" s="57" t="s">
        <v>44</v>
      </c>
    </row>
    <row r="11" spans="1:22" s="3" customFormat="1" ht="18" customHeight="1">
      <c r="A11" s="15">
        <v>9</v>
      </c>
      <c r="B11" s="15" t="s">
        <v>437</v>
      </c>
      <c r="C11" s="16" t="s">
        <v>39</v>
      </c>
      <c r="D11" s="17" t="s">
        <v>426</v>
      </c>
      <c r="E11" s="22" t="s">
        <v>40</v>
      </c>
      <c r="F11" s="19" t="s">
        <v>41</v>
      </c>
      <c r="G11" s="20" t="s">
        <v>427</v>
      </c>
      <c r="H11" s="21" t="s">
        <v>41</v>
      </c>
      <c r="I11" s="20" t="s">
        <v>428</v>
      </c>
      <c r="J11" s="33">
        <v>32</v>
      </c>
      <c r="K11" s="146">
        <v>14.94</v>
      </c>
      <c r="L11" s="39">
        <v>14.94</v>
      </c>
      <c r="M11" s="36">
        <v>1</v>
      </c>
      <c r="N11" s="37">
        <v>0.55000000000000004</v>
      </c>
      <c r="O11" s="53">
        <f t="shared" si="0"/>
        <v>17.600000000000001</v>
      </c>
      <c r="P11" s="308" t="s">
        <v>764</v>
      </c>
      <c r="Q11" s="55">
        <v>0.12</v>
      </c>
      <c r="R11" s="16" t="s">
        <v>429</v>
      </c>
      <c r="S11" s="16">
        <v>17.989999999999998</v>
      </c>
      <c r="T11" s="16">
        <v>0.42</v>
      </c>
      <c r="U11" s="57" t="s">
        <v>44</v>
      </c>
    </row>
    <row r="12" spans="1:22" s="3" customFormat="1" ht="18" customHeight="1">
      <c r="A12" s="15">
        <v>10</v>
      </c>
      <c r="B12" s="15" t="s">
        <v>438</v>
      </c>
      <c r="C12" s="16" t="s">
        <v>39</v>
      </c>
      <c r="D12" s="17" t="s">
        <v>426</v>
      </c>
      <c r="E12" s="22" t="s">
        <v>40</v>
      </c>
      <c r="F12" s="19" t="s">
        <v>41</v>
      </c>
      <c r="G12" s="20" t="s">
        <v>427</v>
      </c>
      <c r="H12" s="21" t="s">
        <v>41</v>
      </c>
      <c r="I12" s="20" t="s">
        <v>428</v>
      </c>
      <c r="J12" s="33">
        <v>32</v>
      </c>
      <c r="K12" s="146">
        <v>14.94</v>
      </c>
      <c r="L12" s="39">
        <v>14.94</v>
      </c>
      <c r="M12" s="36">
        <v>1</v>
      </c>
      <c r="N12" s="37">
        <v>0.55000000000000004</v>
      </c>
      <c r="O12" s="53">
        <f t="shared" si="0"/>
        <v>17.600000000000001</v>
      </c>
      <c r="P12" s="308" t="s">
        <v>764</v>
      </c>
      <c r="Q12" s="55">
        <v>0.12</v>
      </c>
      <c r="R12" s="16" t="s">
        <v>429</v>
      </c>
      <c r="S12" s="16">
        <v>17.989999999999998</v>
      </c>
      <c r="T12" s="16">
        <v>0.42</v>
      </c>
      <c r="U12" s="57" t="s">
        <v>44</v>
      </c>
    </row>
    <row r="13" spans="1:22" s="3" customFormat="1" ht="18" customHeight="1">
      <c r="A13" s="15">
        <v>11</v>
      </c>
      <c r="B13" s="15" t="s">
        <v>439</v>
      </c>
      <c r="C13" s="16" t="s">
        <v>39</v>
      </c>
      <c r="D13" s="17" t="s">
        <v>426</v>
      </c>
      <c r="E13" s="22" t="s">
        <v>40</v>
      </c>
      <c r="F13" s="19" t="s">
        <v>41</v>
      </c>
      <c r="G13" s="20" t="s">
        <v>427</v>
      </c>
      <c r="H13" s="21" t="s">
        <v>41</v>
      </c>
      <c r="I13" s="38" t="s">
        <v>428</v>
      </c>
      <c r="J13" s="33">
        <v>32</v>
      </c>
      <c r="K13" s="146">
        <v>14.94</v>
      </c>
      <c r="L13" s="39">
        <v>14.94</v>
      </c>
      <c r="M13" s="15">
        <v>1</v>
      </c>
      <c r="N13" s="37">
        <v>0.55000000000000004</v>
      </c>
      <c r="O13" s="37">
        <f t="shared" si="0"/>
        <v>17.600000000000001</v>
      </c>
      <c r="P13" s="309" t="s">
        <v>764</v>
      </c>
      <c r="Q13" s="55">
        <v>0.12</v>
      </c>
      <c r="R13" s="16" t="s">
        <v>429</v>
      </c>
      <c r="S13" s="16">
        <v>17.989999999999998</v>
      </c>
      <c r="T13" s="16">
        <v>0.42</v>
      </c>
      <c r="U13" s="57" t="s">
        <v>44</v>
      </c>
    </row>
    <row r="14" spans="1:22" s="3" customFormat="1" ht="18" customHeight="1">
      <c r="A14" s="15">
        <v>12</v>
      </c>
      <c r="B14" s="15" t="s">
        <v>440</v>
      </c>
      <c r="C14" s="16" t="s">
        <v>39</v>
      </c>
      <c r="D14" s="17" t="s">
        <v>426</v>
      </c>
      <c r="E14" s="22" t="s">
        <v>40</v>
      </c>
      <c r="F14" s="19" t="s">
        <v>41</v>
      </c>
      <c r="G14" s="20" t="s">
        <v>427</v>
      </c>
      <c r="H14" s="21" t="s">
        <v>41</v>
      </c>
      <c r="I14" s="38" t="s">
        <v>428</v>
      </c>
      <c r="J14" s="33">
        <v>32</v>
      </c>
      <c r="K14" s="146">
        <v>14.94</v>
      </c>
      <c r="L14" s="39">
        <v>14.94</v>
      </c>
      <c r="M14" s="15">
        <v>1</v>
      </c>
      <c r="N14" s="37">
        <v>0.55000000000000004</v>
      </c>
      <c r="O14" s="37">
        <f t="shared" si="0"/>
        <v>17.600000000000001</v>
      </c>
      <c r="P14" s="309" t="s">
        <v>764</v>
      </c>
      <c r="Q14" s="55">
        <v>0.12</v>
      </c>
      <c r="R14" s="16" t="s">
        <v>429</v>
      </c>
      <c r="S14" s="16">
        <v>17.989999999999998</v>
      </c>
      <c r="T14" s="16">
        <v>0.42</v>
      </c>
      <c r="U14" s="57" t="s">
        <v>44</v>
      </c>
    </row>
    <row r="15" spans="1:22" s="3" customFormat="1" ht="18" customHeight="1">
      <c r="A15" s="15">
        <v>13</v>
      </c>
      <c r="B15" s="15" t="s">
        <v>441</v>
      </c>
      <c r="C15" s="16" t="s">
        <v>39</v>
      </c>
      <c r="D15" s="17" t="s">
        <v>426</v>
      </c>
      <c r="E15" s="22" t="s">
        <v>40</v>
      </c>
      <c r="F15" s="19" t="s">
        <v>41</v>
      </c>
      <c r="G15" s="20" t="s">
        <v>427</v>
      </c>
      <c r="H15" s="21" t="s">
        <v>41</v>
      </c>
      <c r="I15" s="38" t="s">
        <v>428</v>
      </c>
      <c r="J15" s="33">
        <v>32</v>
      </c>
      <c r="K15" s="146">
        <v>14.94</v>
      </c>
      <c r="L15" s="39">
        <v>14.94</v>
      </c>
      <c r="M15" s="15">
        <v>1</v>
      </c>
      <c r="N15" s="37">
        <v>0.55000000000000004</v>
      </c>
      <c r="O15" s="37">
        <f t="shared" si="0"/>
        <v>17.600000000000001</v>
      </c>
      <c r="P15" s="309" t="s">
        <v>764</v>
      </c>
      <c r="Q15" s="55">
        <v>0.12</v>
      </c>
      <c r="R15" s="16" t="s">
        <v>429</v>
      </c>
      <c r="S15" s="16">
        <v>17.989999999999998</v>
      </c>
      <c r="T15" s="16">
        <v>0.42</v>
      </c>
      <c r="U15" s="57" t="s">
        <v>44</v>
      </c>
    </row>
    <row r="16" spans="1:22" s="3" customFormat="1" ht="18" customHeight="1">
      <c r="A16" s="15">
        <v>14</v>
      </c>
      <c r="B16" s="15" t="s">
        <v>442</v>
      </c>
      <c r="C16" s="16" t="s">
        <v>39</v>
      </c>
      <c r="D16" s="17" t="s">
        <v>426</v>
      </c>
      <c r="E16" s="22" t="s">
        <v>40</v>
      </c>
      <c r="F16" s="19" t="s">
        <v>41</v>
      </c>
      <c r="G16" s="20" t="s">
        <v>427</v>
      </c>
      <c r="H16" s="21" t="s">
        <v>41</v>
      </c>
      <c r="I16" s="38" t="s">
        <v>428</v>
      </c>
      <c r="J16" s="33">
        <v>32</v>
      </c>
      <c r="K16" s="146">
        <v>14.94</v>
      </c>
      <c r="L16" s="39">
        <v>14.94</v>
      </c>
      <c r="M16" s="15">
        <v>1</v>
      </c>
      <c r="N16" s="37">
        <v>0.55000000000000004</v>
      </c>
      <c r="O16" s="37">
        <f t="shared" si="0"/>
        <v>17.600000000000001</v>
      </c>
      <c r="P16" s="309" t="s">
        <v>764</v>
      </c>
      <c r="Q16" s="55">
        <v>0.12</v>
      </c>
      <c r="R16" s="16" t="s">
        <v>429</v>
      </c>
      <c r="S16" s="16">
        <v>17.989999999999998</v>
      </c>
      <c r="T16" s="16">
        <v>0.42</v>
      </c>
      <c r="U16" s="57" t="s">
        <v>44</v>
      </c>
    </row>
    <row r="17" spans="1:21" s="3" customFormat="1" ht="18.95" customHeight="1">
      <c r="A17" s="15">
        <v>15</v>
      </c>
      <c r="B17" s="15" t="s">
        <v>443</v>
      </c>
      <c r="C17" s="16" t="s">
        <v>39</v>
      </c>
      <c r="D17" s="17" t="s">
        <v>426</v>
      </c>
      <c r="E17" s="22" t="s">
        <v>40</v>
      </c>
      <c r="F17" s="19" t="s">
        <v>41</v>
      </c>
      <c r="G17" s="20" t="s">
        <v>427</v>
      </c>
      <c r="H17" s="21" t="s">
        <v>41</v>
      </c>
      <c r="I17" s="38" t="s">
        <v>428</v>
      </c>
      <c r="J17" s="33">
        <v>32</v>
      </c>
      <c r="K17" s="146">
        <v>14.94</v>
      </c>
      <c r="L17" s="39">
        <v>14.94</v>
      </c>
      <c r="M17" s="15">
        <v>1</v>
      </c>
      <c r="N17" s="37">
        <v>0.55000000000000004</v>
      </c>
      <c r="O17" s="37">
        <f t="shared" si="0"/>
        <v>17.600000000000001</v>
      </c>
      <c r="P17" s="309" t="s">
        <v>764</v>
      </c>
      <c r="Q17" s="55">
        <v>0.12</v>
      </c>
      <c r="R17" s="16" t="s">
        <v>429</v>
      </c>
      <c r="S17" s="16">
        <v>17.989999999999998</v>
      </c>
      <c r="T17" s="16">
        <v>0.42</v>
      </c>
      <c r="U17" s="57" t="s">
        <v>44</v>
      </c>
    </row>
    <row r="18" spans="1:21" s="3" customFormat="1" ht="18" customHeight="1">
      <c r="A18" s="15">
        <v>16</v>
      </c>
      <c r="B18" s="373" t="s">
        <v>444</v>
      </c>
      <c r="C18" s="24" t="s">
        <v>60</v>
      </c>
      <c r="D18" s="16" t="s">
        <v>445</v>
      </c>
      <c r="E18" s="22" t="s">
        <v>61</v>
      </c>
      <c r="F18" s="19" t="s">
        <v>41</v>
      </c>
      <c r="G18" s="20" t="s">
        <v>446</v>
      </c>
      <c r="H18" s="19" t="s">
        <v>41</v>
      </c>
      <c r="I18" s="38" t="s">
        <v>447</v>
      </c>
      <c r="J18" s="16">
        <v>48</v>
      </c>
      <c r="K18" s="147">
        <v>17.82</v>
      </c>
      <c r="L18" s="39">
        <v>17.82</v>
      </c>
      <c r="M18" s="344">
        <v>1</v>
      </c>
      <c r="N18" s="37">
        <v>0.33</v>
      </c>
      <c r="O18" s="37">
        <f t="shared" si="0"/>
        <v>15.84</v>
      </c>
      <c r="P18" s="309" t="s">
        <v>765</v>
      </c>
      <c r="Q18" s="55">
        <v>1.7000000000000001E-2</v>
      </c>
      <c r="R18" s="16" t="s">
        <v>448</v>
      </c>
      <c r="S18" s="16">
        <v>9.99</v>
      </c>
      <c r="T18" s="16">
        <v>0.34</v>
      </c>
      <c r="U18" s="59" t="s">
        <v>64</v>
      </c>
    </row>
    <row r="19" spans="1:21" s="3" customFormat="1" ht="18" customHeight="1">
      <c r="A19" s="15">
        <v>17</v>
      </c>
      <c r="B19" s="373"/>
      <c r="C19" s="24" t="s">
        <v>65</v>
      </c>
      <c r="D19" s="16" t="s">
        <v>449</v>
      </c>
      <c r="E19" s="22" t="s">
        <v>66</v>
      </c>
      <c r="F19" s="19" t="s">
        <v>41</v>
      </c>
      <c r="G19" s="20" t="s">
        <v>450</v>
      </c>
      <c r="H19" s="19" t="s">
        <v>41</v>
      </c>
      <c r="I19" s="41" t="s">
        <v>451</v>
      </c>
      <c r="J19" s="16">
        <v>30</v>
      </c>
      <c r="K19" s="147">
        <v>3.3</v>
      </c>
      <c r="L19" s="39">
        <v>3.3</v>
      </c>
      <c r="M19" s="345"/>
      <c r="N19" s="37">
        <v>0.22</v>
      </c>
      <c r="O19" s="37">
        <f t="shared" si="0"/>
        <v>6.6</v>
      </c>
      <c r="P19" s="309" t="s">
        <v>766</v>
      </c>
      <c r="Q19" s="55">
        <v>6.5000000000000002E-2</v>
      </c>
      <c r="R19" s="16" t="s">
        <v>452</v>
      </c>
      <c r="S19" s="16">
        <v>6.45</v>
      </c>
      <c r="T19" s="16">
        <v>0.06</v>
      </c>
      <c r="U19" s="60" t="s">
        <v>69</v>
      </c>
    </row>
    <row r="20" spans="1:21" s="3" customFormat="1" ht="18" customHeight="1">
      <c r="A20" s="15">
        <v>18</v>
      </c>
      <c r="B20" s="373" t="s">
        <v>453</v>
      </c>
      <c r="C20" s="24" t="s">
        <v>60</v>
      </c>
      <c r="D20" s="16" t="s">
        <v>445</v>
      </c>
      <c r="E20" s="22" t="s">
        <v>61</v>
      </c>
      <c r="F20" s="19" t="s">
        <v>41</v>
      </c>
      <c r="G20" s="20" t="s">
        <v>446</v>
      </c>
      <c r="H20" s="19" t="s">
        <v>41</v>
      </c>
      <c r="I20" s="38" t="s">
        <v>447</v>
      </c>
      <c r="J20" s="16">
        <v>48</v>
      </c>
      <c r="K20" s="147">
        <v>17.82</v>
      </c>
      <c r="L20" s="39">
        <v>17.82</v>
      </c>
      <c r="M20" s="344">
        <v>1</v>
      </c>
      <c r="N20" s="37">
        <v>0.33</v>
      </c>
      <c r="O20" s="37">
        <f t="shared" si="0"/>
        <v>15.84</v>
      </c>
      <c r="P20" s="309" t="s">
        <v>765</v>
      </c>
      <c r="Q20" s="55">
        <v>1.7000000000000001E-2</v>
      </c>
      <c r="R20" s="16" t="s">
        <v>448</v>
      </c>
      <c r="S20" s="16">
        <v>9.99</v>
      </c>
      <c r="T20" s="16">
        <v>0.34</v>
      </c>
      <c r="U20" s="60" t="s">
        <v>64</v>
      </c>
    </row>
    <row r="21" spans="1:21" s="3" customFormat="1" ht="18" customHeight="1">
      <c r="A21" s="15">
        <v>19</v>
      </c>
      <c r="B21" s="373"/>
      <c r="C21" s="24" t="s">
        <v>65</v>
      </c>
      <c r="D21" s="16" t="s">
        <v>449</v>
      </c>
      <c r="E21" s="22" t="s">
        <v>66</v>
      </c>
      <c r="F21" s="19" t="s">
        <v>41</v>
      </c>
      <c r="G21" s="20" t="s">
        <v>450</v>
      </c>
      <c r="H21" s="19" t="s">
        <v>41</v>
      </c>
      <c r="I21" s="41" t="s">
        <v>451</v>
      </c>
      <c r="J21" s="16">
        <v>30</v>
      </c>
      <c r="K21" s="147">
        <v>3.3</v>
      </c>
      <c r="L21" s="39">
        <v>3.3</v>
      </c>
      <c r="M21" s="345"/>
      <c r="N21" s="37">
        <v>0.22</v>
      </c>
      <c r="O21" s="37">
        <f t="shared" si="0"/>
        <v>6.6</v>
      </c>
      <c r="P21" s="309" t="s">
        <v>766</v>
      </c>
      <c r="Q21" s="55">
        <v>6.5000000000000002E-2</v>
      </c>
      <c r="R21" s="16" t="s">
        <v>452</v>
      </c>
      <c r="S21" s="16">
        <v>6.45</v>
      </c>
      <c r="T21" s="16">
        <v>0.06</v>
      </c>
      <c r="U21" s="60" t="s">
        <v>69</v>
      </c>
    </row>
    <row r="22" spans="1:21" s="3" customFormat="1" ht="18" customHeight="1">
      <c r="A22" s="15">
        <v>20</v>
      </c>
      <c r="B22" s="373" t="s">
        <v>454</v>
      </c>
      <c r="C22" s="24" t="s">
        <v>60</v>
      </c>
      <c r="D22" s="16" t="s">
        <v>445</v>
      </c>
      <c r="E22" s="22" t="s">
        <v>61</v>
      </c>
      <c r="F22" s="19" t="s">
        <v>41</v>
      </c>
      <c r="G22" s="20" t="s">
        <v>446</v>
      </c>
      <c r="H22" s="19" t="s">
        <v>41</v>
      </c>
      <c r="I22" s="38" t="s">
        <v>447</v>
      </c>
      <c r="J22" s="16">
        <v>48</v>
      </c>
      <c r="K22" s="147">
        <v>17.82</v>
      </c>
      <c r="L22" s="39">
        <v>17.82</v>
      </c>
      <c r="M22" s="344">
        <v>1</v>
      </c>
      <c r="N22" s="37">
        <v>0.33</v>
      </c>
      <c r="O22" s="37">
        <f t="shared" si="0"/>
        <v>15.84</v>
      </c>
      <c r="P22" s="309" t="s">
        <v>765</v>
      </c>
      <c r="Q22" s="55">
        <v>1.7000000000000001E-2</v>
      </c>
      <c r="R22" s="16" t="s">
        <v>448</v>
      </c>
      <c r="S22" s="16">
        <v>9.99</v>
      </c>
      <c r="T22" s="16">
        <v>0.34</v>
      </c>
      <c r="U22" s="60" t="s">
        <v>64</v>
      </c>
    </row>
    <row r="23" spans="1:21" s="3" customFormat="1" ht="18" customHeight="1">
      <c r="A23" s="15">
        <v>21</v>
      </c>
      <c r="B23" s="373"/>
      <c r="C23" s="24" t="s">
        <v>65</v>
      </c>
      <c r="D23" s="16" t="s">
        <v>449</v>
      </c>
      <c r="E23" s="22" t="s">
        <v>66</v>
      </c>
      <c r="F23" s="19" t="s">
        <v>41</v>
      </c>
      <c r="G23" s="20" t="s">
        <v>450</v>
      </c>
      <c r="H23" s="19" t="s">
        <v>41</v>
      </c>
      <c r="I23" s="41" t="s">
        <v>451</v>
      </c>
      <c r="J23" s="16">
        <v>30</v>
      </c>
      <c r="K23" s="147">
        <v>3.3</v>
      </c>
      <c r="L23" s="39">
        <v>3.3</v>
      </c>
      <c r="M23" s="345"/>
      <c r="N23" s="37">
        <v>0.22</v>
      </c>
      <c r="O23" s="37">
        <f t="shared" si="0"/>
        <v>6.6</v>
      </c>
      <c r="P23" s="309" t="s">
        <v>766</v>
      </c>
      <c r="Q23" s="55">
        <v>6.5000000000000002E-2</v>
      </c>
      <c r="R23" s="16" t="s">
        <v>452</v>
      </c>
      <c r="S23" s="16">
        <v>6.45</v>
      </c>
      <c r="T23" s="16">
        <v>0.06</v>
      </c>
      <c r="U23" s="60" t="s">
        <v>69</v>
      </c>
    </row>
    <row r="24" spans="1:21" s="3" customFormat="1" ht="18" customHeight="1">
      <c r="A24" s="15">
        <v>22</v>
      </c>
      <c r="B24" s="373" t="s">
        <v>455</v>
      </c>
      <c r="C24" s="24" t="s">
        <v>60</v>
      </c>
      <c r="D24" s="16" t="s">
        <v>445</v>
      </c>
      <c r="E24" s="22" t="s">
        <v>61</v>
      </c>
      <c r="F24" s="19" t="s">
        <v>41</v>
      </c>
      <c r="G24" s="20" t="s">
        <v>446</v>
      </c>
      <c r="H24" s="19" t="s">
        <v>41</v>
      </c>
      <c r="I24" s="38" t="s">
        <v>447</v>
      </c>
      <c r="J24" s="16">
        <v>48</v>
      </c>
      <c r="K24" s="147">
        <v>17.82</v>
      </c>
      <c r="L24" s="39">
        <v>17.82</v>
      </c>
      <c r="M24" s="344">
        <v>1</v>
      </c>
      <c r="N24" s="37">
        <v>0.33</v>
      </c>
      <c r="O24" s="37">
        <f t="shared" si="0"/>
        <v>15.84</v>
      </c>
      <c r="P24" s="309" t="s">
        <v>765</v>
      </c>
      <c r="Q24" s="55">
        <v>1.7000000000000001E-2</v>
      </c>
      <c r="R24" s="16" t="s">
        <v>448</v>
      </c>
      <c r="S24" s="16">
        <v>9.99</v>
      </c>
      <c r="T24" s="16">
        <v>0.34</v>
      </c>
      <c r="U24" s="60" t="s">
        <v>64</v>
      </c>
    </row>
    <row r="25" spans="1:21" s="3" customFormat="1" ht="18" customHeight="1">
      <c r="A25" s="15">
        <v>23</v>
      </c>
      <c r="B25" s="373"/>
      <c r="C25" s="24" t="s">
        <v>65</v>
      </c>
      <c r="D25" s="16" t="s">
        <v>449</v>
      </c>
      <c r="E25" s="22" t="s">
        <v>66</v>
      </c>
      <c r="F25" s="19" t="s">
        <v>41</v>
      </c>
      <c r="G25" s="20" t="s">
        <v>450</v>
      </c>
      <c r="H25" s="19" t="s">
        <v>41</v>
      </c>
      <c r="I25" s="41" t="s">
        <v>451</v>
      </c>
      <c r="J25" s="16">
        <v>30</v>
      </c>
      <c r="K25" s="147">
        <v>3.3</v>
      </c>
      <c r="L25" s="39">
        <v>3.3</v>
      </c>
      <c r="M25" s="345"/>
      <c r="N25" s="37">
        <v>0.22</v>
      </c>
      <c r="O25" s="37">
        <f t="shared" si="0"/>
        <v>6.6</v>
      </c>
      <c r="P25" s="309" t="s">
        <v>766</v>
      </c>
      <c r="Q25" s="55">
        <v>6.5000000000000002E-2</v>
      </c>
      <c r="R25" s="16" t="s">
        <v>452</v>
      </c>
      <c r="S25" s="16">
        <v>6.45</v>
      </c>
      <c r="T25" s="16">
        <v>0.06</v>
      </c>
      <c r="U25" s="60" t="s">
        <v>69</v>
      </c>
    </row>
    <row r="26" spans="1:21" s="3" customFormat="1" ht="18" customHeight="1">
      <c r="A26" s="15">
        <v>24</v>
      </c>
      <c r="B26" s="373" t="s">
        <v>456</v>
      </c>
      <c r="C26" s="24" t="s">
        <v>60</v>
      </c>
      <c r="D26" s="16" t="s">
        <v>445</v>
      </c>
      <c r="E26" s="22" t="s">
        <v>61</v>
      </c>
      <c r="F26" s="19" t="s">
        <v>41</v>
      </c>
      <c r="G26" s="20" t="s">
        <v>446</v>
      </c>
      <c r="H26" s="19" t="s">
        <v>41</v>
      </c>
      <c r="I26" s="38" t="s">
        <v>447</v>
      </c>
      <c r="J26" s="16">
        <v>48</v>
      </c>
      <c r="K26" s="147">
        <v>17.82</v>
      </c>
      <c r="L26" s="39">
        <v>17.82</v>
      </c>
      <c r="M26" s="344">
        <v>1</v>
      </c>
      <c r="N26" s="37">
        <v>0.33</v>
      </c>
      <c r="O26" s="37">
        <f t="shared" si="0"/>
        <v>15.84</v>
      </c>
      <c r="P26" s="309" t="s">
        <v>765</v>
      </c>
      <c r="Q26" s="55">
        <v>1.7000000000000001E-2</v>
      </c>
      <c r="R26" s="16" t="s">
        <v>448</v>
      </c>
      <c r="S26" s="16">
        <v>9.99</v>
      </c>
      <c r="T26" s="16">
        <v>0.34</v>
      </c>
      <c r="U26" s="60" t="s">
        <v>64</v>
      </c>
    </row>
    <row r="27" spans="1:21" s="3" customFormat="1" ht="18" customHeight="1">
      <c r="A27" s="15">
        <v>25</v>
      </c>
      <c r="B27" s="373"/>
      <c r="C27" s="24" t="s">
        <v>65</v>
      </c>
      <c r="D27" s="16" t="s">
        <v>449</v>
      </c>
      <c r="E27" s="22" t="s">
        <v>66</v>
      </c>
      <c r="F27" s="19" t="s">
        <v>41</v>
      </c>
      <c r="G27" s="20" t="s">
        <v>450</v>
      </c>
      <c r="H27" s="19" t="s">
        <v>41</v>
      </c>
      <c r="I27" s="41" t="s">
        <v>451</v>
      </c>
      <c r="J27" s="16">
        <v>30</v>
      </c>
      <c r="K27" s="147">
        <v>3.3</v>
      </c>
      <c r="L27" s="39">
        <v>3.3</v>
      </c>
      <c r="M27" s="345"/>
      <c r="N27" s="37">
        <v>0.22</v>
      </c>
      <c r="O27" s="37">
        <f t="shared" si="0"/>
        <v>6.6</v>
      </c>
      <c r="P27" s="309" t="s">
        <v>766</v>
      </c>
      <c r="Q27" s="55">
        <v>6.5000000000000002E-2</v>
      </c>
      <c r="R27" s="16" t="s">
        <v>452</v>
      </c>
      <c r="S27" s="16">
        <v>6.45</v>
      </c>
      <c r="T27" s="16">
        <v>0.06</v>
      </c>
      <c r="U27" s="60" t="s">
        <v>69</v>
      </c>
    </row>
    <row r="28" spans="1:21" s="3" customFormat="1" ht="18" customHeight="1">
      <c r="A28" s="15">
        <v>26</v>
      </c>
      <c r="B28" s="373" t="s">
        <v>457</v>
      </c>
      <c r="C28" s="24" t="s">
        <v>60</v>
      </c>
      <c r="D28" s="16" t="s">
        <v>445</v>
      </c>
      <c r="E28" s="22" t="s">
        <v>61</v>
      </c>
      <c r="F28" s="19" t="s">
        <v>41</v>
      </c>
      <c r="G28" s="20" t="s">
        <v>446</v>
      </c>
      <c r="H28" s="19" t="s">
        <v>41</v>
      </c>
      <c r="I28" s="38" t="s">
        <v>447</v>
      </c>
      <c r="J28" s="16">
        <v>48</v>
      </c>
      <c r="K28" s="147">
        <v>17.82</v>
      </c>
      <c r="L28" s="39">
        <v>17.82</v>
      </c>
      <c r="M28" s="344">
        <v>1</v>
      </c>
      <c r="N28" s="37">
        <v>0.33</v>
      </c>
      <c r="O28" s="37">
        <f t="shared" si="0"/>
        <v>15.84</v>
      </c>
      <c r="P28" s="309" t="s">
        <v>765</v>
      </c>
      <c r="Q28" s="55">
        <v>1.7000000000000001E-2</v>
      </c>
      <c r="R28" s="16" t="s">
        <v>448</v>
      </c>
      <c r="S28" s="16">
        <v>9.99</v>
      </c>
      <c r="T28" s="16">
        <v>0.34</v>
      </c>
      <c r="U28" s="60" t="s">
        <v>64</v>
      </c>
    </row>
    <row r="29" spans="1:21" s="3" customFormat="1" ht="18" customHeight="1">
      <c r="A29" s="15">
        <v>27</v>
      </c>
      <c r="B29" s="373"/>
      <c r="C29" s="24" t="s">
        <v>65</v>
      </c>
      <c r="D29" s="16" t="s">
        <v>449</v>
      </c>
      <c r="E29" s="22" t="s">
        <v>66</v>
      </c>
      <c r="F29" s="19" t="s">
        <v>41</v>
      </c>
      <c r="G29" s="20" t="s">
        <v>450</v>
      </c>
      <c r="H29" s="19" t="s">
        <v>41</v>
      </c>
      <c r="I29" s="41" t="s">
        <v>451</v>
      </c>
      <c r="J29" s="16">
        <v>30</v>
      </c>
      <c r="K29" s="147">
        <v>3.3</v>
      </c>
      <c r="L29" s="39">
        <v>3.3</v>
      </c>
      <c r="M29" s="345"/>
      <c r="N29" s="37">
        <v>0.22</v>
      </c>
      <c r="O29" s="37">
        <f t="shared" si="0"/>
        <v>6.6</v>
      </c>
      <c r="P29" s="309" t="s">
        <v>766</v>
      </c>
      <c r="Q29" s="55">
        <v>6.5000000000000002E-2</v>
      </c>
      <c r="R29" s="16" t="s">
        <v>452</v>
      </c>
      <c r="S29" s="16">
        <v>6.45</v>
      </c>
      <c r="T29" s="16">
        <v>0.06</v>
      </c>
      <c r="U29" s="60" t="s">
        <v>69</v>
      </c>
    </row>
    <row r="30" spans="1:21" s="3" customFormat="1" ht="18" customHeight="1">
      <c r="A30" s="15">
        <v>28</v>
      </c>
      <c r="B30" s="373" t="s">
        <v>458</v>
      </c>
      <c r="C30" s="24" t="s">
        <v>60</v>
      </c>
      <c r="D30" s="16" t="s">
        <v>445</v>
      </c>
      <c r="E30" s="22" t="s">
        <v>61</v>
      </c>
      <c r="F30" s="19" t="s">
        <v>41</v>
      </c>
      <c r="G30" s="20" t="s">
        <v>446</v>
      </c>
      <c r="H30" s="19" t="s">
        <v>41</v>
      </c>
      <c r="I30" s="38" t="s">
        <v>447</v>
      </c>
      <c r="J30" s="16">
        <v>48</v>
      </c>
      <c r="K30" s="147">
        <v>17.82</v>
      </c>
      <c r="L30" s="39">
        <v>17.82</v>
      </c>
      <c r="M30" s="344">
        <v>1</v>
      </c>
      <c r="N30" s="37">
        <v>0.33</v>
      </c>
      <c r="O30" s="37">
        <f t="shared" si="0"/>
        <v>15.84</v>
      </c>
      <c r="P30" s="309" t="s">
        <v>765</v>
      </c>
      <c r="Q30" s="55">
        <v>1.7000000000000001E-2</v>
      </c>
      <c r="R30" s="16" t="s">
        <v>448</v>
      </c>
      <c r="S30" s="16">
        <v>9.99</v>
      </c>
      <c r="T30" s="16">
        <v>0.34</v>
      </c>
      <c r="U30" s="60" t="s">
        <v>64</v>
      </c>
    </row>
    <row r="31" spans="1:21" s="3" customFormat="1" ht="18" customHeight="1">
      <c r="A31" s="15">
        <v>29</v>
      </c>
      <c r="B31" s="373"/>
      <c r="C31" s="24" t="s">
        <v>65</v>
      </c>
      <c r="D31" s="16" t="s">
        <v>449</v>
      </c>
      <c r="E31" s="22" t="s">
        <v>66</v>
      </c>
      <c r="F31" s="19" t="s">
        <v>41</v>
      </c>
      <c r="G31" s="20" t="s">
        <v>450</v>
      </c>
      <c r="H31" s="19" t="s">
        <v>41</v>
      </c>
      <c r="I31" s="41" t="s">
        <v>451</v>
      </c>
      <c r="J31" s="16">
        <v>30</v>
      </c>
      <c r="K31" s="147">
        <v>3.3</v>
      </c>
      <c r="L31" s="39">
        <v>3.3</v>
      </c>
      <c r="M31" s="345"/>
      <c r="N31" s="37">
        <v>0.22</v>
      </c>
      <c r="O31" s="37">
        <f t="shared" si="0"/>
        <v>6.6</v>
      </c>
      <c r="P31" s="309" t="s">
        <v>766</v>
      </c>
      <c r="Q31" s="55">
        <v>6.5000000000000002E-2</v>
      </c>
      <c r="R31" s="16" t="s">
        <v>452</v>
      </c>
      <c r="S31" s="16">
        <v>6.45</v>
      </c>
      <c r="T31" s="16">
        <v>0.06</v>
      </c>
      <c r="U31" s="60" t="s">
        <v>69</v>
      </c>
    </row>
    <row r="32" spans="1:21" s="3" customFormat="1" ht="18" customHeight="1">
      <c r="A32" s="15">
        <v>30</v>
      </c>
      <c r="B32" s="373" t="s">
        <v>459</v>
      </c>
      <c r="C32" s="24" t="s">
        <v>60</v>
      </c>
      <c r="D32" s="16" t="s">
        <v>445</v>
      </c>
      <c r="E32" s="22" t="s">
        <v>61</v>
      </c>
      <c r="F32" s="19" t="s">
        <v>41</v>
      </c>
      <c r="G32" s="20" t="s">
        <v>446</v>
      </c>
      <c r="H32" s="19" t="s">
        <v>41</v>
      </c>
      <c r="I32" s="38" t="s">
        <v>447</v>
      </c>
      <c r="J32" s="16">
        <v>48</v>
      </c>
      <c r="K32" s="147">
        <v>17.82</v>
      </c>
      <c r="L32" s="39">
        <v>17.82</v>
      </c>
      <c r="M32" s="344">
        <v>1</v>
      </c>
      <c r="N32" s="37">
        <v>0.33</v>
      </c>
      <c r="O32" s="37">
        <f t="shared" si="0"/>
        <v>15.84</v>
      </c>
      <c r="P32" s="309" t="s">
        <v>765</v>
      </c>
      <c r="Q32" s="55">
        <v>1.7000000000000001E-2</v>
      </c>
      <c r="R32" s="16" t="s">
        <v>448</v>
      </c>
      <c r="S32" s="16">
        <v>9.99</v>
      </c>
      <c r="T32" s="16">
        <v>0.34</v>
      </c>
      <c r="U32" s="60" t="s">
        <v>64</v>
      </c>
    </row>
    <row r="33" spans="1:21" s="3" customFormat="1" ht="18" customHeight="1">
      <c r="A33" s="15">
        <v>31</v>
      </c>
      <c r="B33" s="373"/>
      <c r="C33" s="24" t="s">
        <v>65</v>
      </c>
      <c r="D33" s="16" t="s">
        <v>449</v>
      </c>
      <c r="E33" s="22" t="s">
        <v>66</v>
      </c>
      <c r="F33" s="19" t="s">
        <v>41</v>
      </c>
      <c r="G33" s="20" t="s">
        <v>450</v>
      </c>
      <c r="H33" s="19" t="s">
        <v>41</v>
      </c>
      <c r="I33" s="41" t="s">
        <v>451</v>
      </c>
      <c r="J33" s="16">
        <v>30</v>
      </c>
      <c r="K33" s="147">
        <v>3.3</v>
      </c>
      <c r="L33" s="39">
        <v>3.3</v>
      </c>
      <c r="M33" s="345"/>
      <c r="N33" s="37">
        <v>0.22</v>
      </c>
      <c r="O33" s="37">
        <f t="shared" si="0"/>
        <v>6.6</v>
      </c>
      <c r="P33" s="309" t="s">
        <v>766</v>
      </c>
      <c r="Q33" s="55">
        <v>6.5000000000000002E-2</v>
      </c>
      <c r="R33" s="16" t="s">
        <v>452</v>
      </c>
      <c r="S33" s="16">
        <v>6.45</v>
      </c>
      <c r="T33" s="16">
        <v>0.06</v>
      </c>
      <c r="U33" s="60" t="s">
        <v>69</v>
      </c>
    </row>
    <row r="34" spans="1:21" s="3" customFormat="1" ht="18" customHeight="1">
      <c r="A34" s="15">
        <v>32</v>
      </c>
      <c r="B34" s="373" t="s">
        <v>460</v>
      </c>
      <c r="C34" s="24" t="s">
        <v>60</v>
      </c>
      <c r="D34" s="16" t="s">
        <v>445</v>
      </c>
      <c r="E34" s="22" t="s">
        <v>61</v>
      </c>
      <c r="F34" s="19" t="s">
        <v>41</v>
      </c>
      <c r="G34" s="20" t="s">
        <v>446</v>
      </c>
      <c r="H34" s="19" t="s">
        <v>41</v>
      </c>
      <c r="I34" s="38" t="s">
        <v>447</v>
      </c>
      <c r="J34" s="16">
        <v>48</v>
      </c>
      <c r="K34" s="147">
        <v>17.82</v>
      </c>
      <c r="L34" s="39">
        <v>17.82</v>
      </c>
      <c r="M34" s="344">
        <v>1</v>
      </c>
      <c r="N34" s="37">
        <v>0.33</v>
      </c>
      <c r="O34" s="37">
        <f t="shared" si="0"/>
        <v>15.84</v>
      </c>
      <c r="P34" s="309" t="s">
        <v>765</v>
      </c>
      <c r="Q34" s="55">
        <v>1.7000000000000001E-2</v>
      </c>
      <c r="R34" s="16" t="s">
        <v>448</v>
      </c>
      <c r="S34" s="16">
        <v>9.99</v>
      </c>
      <c r="T34" s="16">
        <v>0.34</v>
      </c>
      <c r="U34" s="60" t="s">
        <v>64</v>
      </c>
    </row>
    <row r="35" spans="1:21" s="3" customFormat="1" ht="18" customHeight="1">
      <c r="A35" s="15">
        <v>33</v>
      </c>
      <c r="B35" s="373"/>
      <c r="C35" s="24" t="s">
        <v>65</v>
      </c>
      <c r="D35" s="16" t="s">
        <v>449</v>
      </c>
      <c r="E35" s="22" t="s">
        <v>66</v>
      </c>
      <c r="F35" s="19" t="s">
        <v>41</v>
      </c>
      <c r="G35" s="20" t="s">
        <v>450</v>
      </c>
      <c r="H35" s="19" t="s">
        <v>41</v>
      </c>
      <c r="I35" s="41" t="s">
        <v>451</v>
      </c>
      <c r="J35" s="16">
        <v>30</v>
      </c>
      <c r="K35" s="147">
        <v>3.3</v>
      </c>
      <c r="L35" s="39">
        <v>3.3</v>
      </c>
      <c r="M35" s="345"/>
      <c r="N35" s="37">
        <v>0.22</v>
      </c>
      <c r="O35" s="37">
        <f t="shared" si="0"/>
        <v>6.6</v>
      </c>
      <c r="P35" s="309" t="s">
        <v>766</v>
      </c>
      <c r="Q35" s="55">
        <v>6.5000000000000002E-2</v>
      </c>
      <c r="R35" s="16" t="s">
        <v>452</v>
      </c>
      <c r="S35" s="16">
        <v>6.45</v>
      </c>
      <c r="T35" s="16">
        <v>0.06</v>
      </c>
      <c r="U35" s="60" t="s">
        <v>69</v>
      </c>
    </row>
    <row r="36" spans="1:21" s="3" customFormat="1" ht="18" customHeight="1">
      <c r="A36" s="15">
        <v>34</v>
      </c>
      <c r="B36" s="373" t="s">
        <v>461</v>
      </c>
      <c r="C36" s="24" t="s">
        <v>60</v>
      </c>
      <c r="D36" s="16" t="s">
        <v>445</v>
      </c>
      <c r="E36" s="22" t="s">
        <v>61</v>
      </c>
      <c r="F36" s="19" t="s">
        <v>41</v>
      </c>
      <c r="G36" s="20" t="s">
        <v>446</v>
      </c>
      <c r="H36" s="19" t="s">
        <v>41</v>
      </c>
      <c r="I36" s="38" t="s">
        <v>447</v>
      </c>
      <c r="J36" s="16">
        <v>48</v>
      </c>
      <c r="K36" s="147">
        <v>17.82</v>
      </c>
      <c r="L36" s="39">
        <v>17.82</v>
      </c>
      <c r="M36" s="344">
        <v>1</v>
      </c>
      <c r="N36" s="37">
        <v>0.33</v>
      </c>
      <c r="O36" s="37">
        <f t="shared" si="0"/>
        <v>15.84</v>
      </c>
      <c r="P36" s="309" t="s">
        <v>765</v>
      </c>
      <c r="Q36" s="55">
        <v>1.7000000000000001E-2</v>
      </c>
      <c r="R36" s="16" t="s">
        <v>448</v>
      </c>
      <c r="S36" s="16">
        <v>9.99</v>
      </c>
      <c r="T36" s="16">
        <v>0.34</v>
      </c>
      <c r="U36" s="60" t="s">
        <v>64</v>
      </c>
    </row>
    <row r="37" spans="1:21" s="3" customFormat="1" ht="18" customHeight="1">
      <c r="A37" s="15">
        <v>35</v>
      </c>
      <c r="B37" s="373"/>
      <c r="C37" s="24" t="s">
        <v>65</v>
      </c>
      <c r="D37" s="16" t="s">
        <v>449</v>
      </c>
      <c r="E37" s="22" t="s">
        <v>66</v>
      </c>
      <c r="F37" s="19" t="s">
        <v>41</v>
      </c>
      <c r="G37" s="20" t="s">
        <v>450</v>
      </c>
      <c r="H37" s="19" t="s">
        <v>41</v>
      </c>
      <c r="I37" s="41" t="s">
        <v>451</v>
      </c>
      <c r="J37" s="16">
        <v>32</v>
      </c>
      <c r="K37" s="147">
        <v>3.42</v>
      </c>
      <c r="L37" s="39">
        <v>3.42</v>
      </c>
      <c r="M37" s="345"/>
      <c r="N37" s="37">
        <v>0.22</v>
      </c>
      <c r="O37" s="37">
        <f t="shared" si="0"/>
        <v>7.04</v>
      </c>
      <c r="P37" s="309" t="s">
        <v>766</v>
      </c>
      <c r="Q37" s="55">
        <v>6.5000000000000002E-2</v>
      </c>
      <c r="R37" s="16" t="s">
        <v>452</v>
      </c>
      <c r="S37" s="16">
        <v>6.45</v>
      </c>
      <c r="T37" s="16">
        <v>0.06</v>
      </c>
      <c r="U37" s="60" t="s">
        <v>69</v>
      </c>
    </row>
    <row r="38" spans="1:21" s="3" customFormat="1" ht="18" customHeight="1">
      <c r="A38" s="15">
        <v>36</v>
      </c>
      <c r="B38" s="23" t="s">
        <v>462</v>
      </c>
      <c r="C38" s="16" t="s">
        <v>80</v>
      </c>
      <c r="D38" s="16" t="s">
        <v>463</v>
      </c>
      <c r="E38" s="22" t="s">
        <v>81</v>
      </c>
      <c r="F38" s="19" t="s">
        <v>41</v>
      </c>
      <c r="G38" s="20" t="s">
        <v>464</v>
      </c>
      <c r="H38" s="19" t="s">
        <v>41</v>
      </c>
      <c r="I38" s="38" t="s">
        <v>465</v>
      </c>
      <c r="J38" s="42">
        <v>204</v>
      </c>
      <c r="K38" s="147">
        <v>10.68</v>
      </c>
      <c r="L38" s="39">
        <v>10.68</v>
      </c>
      <c r="M38" s="15">
        <v>1</v>
      </c>
      <c r="N38" s="37">
        <v>0.08</v>
      </c>
      <c r="O38" s="37">
        <f t="shared" si="0"/>
        <v>16.32</v>
      </c>
      <c r="P38" s="309" t="s">
        <v>767</v>
      </c>
      <c r="Q38" s="55">
        <v>1.7000000000000001E-2</v>
      </c>
      <c r="R38" s="16" t="s">
        <v>466</v>
      </c>
      <c r="S38" s="16">
        <v>7.99</v>
      </c>
      <c r="T38" s="16">
        <v>4.4999999999999998E-2</v>
      </c>
      <c r="U38" s="61" t="s">
        <v>84</v>
      </c>
    </row>
    <row r="39" spans="1:21" s="3" customFormat="1" ht="18" customHeight="1">
      <c r="A39" s="15">
        <v>37</v>
      </c>
      <c r="B39" s="340" t="s">
        <v>85</v>
      </c>
      <c r="C39" s="26" t="s">
        <v>86</v>
      </c>
      <c r="D39" s="16" t="s">
        <v>467</v>
      </c>
      <c r="E39" s="22" t="s">
        <v>87</v>
      </c>
      <c r="F39" s="19" t="s">
        <v>41</v>
      </c>
      <c r="G39" s="27" t="s">
        <v>468</v>
      </c>
      <c r="H39" s="19" t="s">
        <v>41</v>
      </c>
      <c r="I39" s="43" t="s">
        <v>469</v>
      </c>
      <c r="J39" s="25">
        <v>30</v>
      </c>
      <c r="K39" s="147">
        <v>8.1</v>
      </c>
      <c r="L39" s="25">
        <v>8.1</v>
      </c>
      <c r="M39" s="339">
        <v>1</v>
      </c>
      <c r="N39" s="37">
        <v>0.8</v>
      </c>
      <c r="O39" s="37">
        <f t="shared" si="0"/>
        <v>24</v>
      </c>
      <c r="P39" s="309" t="s">
        <v>768</v>
      </c>
      <c r="Q39" s="55">
        <v>6.5000000000000002E-2</v>
      </c>
      <c r="R39" s="62" t="s">
        <v>470</v>
      </c>
      <c r="S39" s="62">
        <v>11.16</v>
      </c>
      <c r="T39" s="62">
        <v>0.22</v>
      </c>
      <c r="U39" s="63" t="s">
        <v>90</v>
      </c>
    </row>
    <row r="40" spans="1:21" s="3" customFormat="1" ht="18" customHeight="1">
      <c r="A40" s="15">
        <v>38</v>
      </c>
      <c r="B40" s="340"/>
      <c r="C40" s="26" t="s">
        <v>91</v>
      </c>
      <c r="D40" s="16" t="s">
        <v>471</v>
      </c>
      <c r="E40" s="22" t="s">
        <v>92</v>
      </c>
      <c r="F40" s="19" t="s">
        <v>41</v>
      </c>
      <c r="G40" s="25" t="s">
        <v>93</v>
      </c>
      <c r="H40" s="19" t="s">
        <v>41</v>
      </c>
      <c r="I40" s="43" t="s">
        <v>472</v>
      </c>
      <c r="J40" s="25">
        <v>30</v>
      </c>
      <c r="K40" s="147">
        <v>21.3</v>
      </c>
      <c r="L40" s="25">
        <v>21.3</v>
      </c>
      <c r="M40" s="339"/>
      <c r="N40" s="37">
        <v>0.8</v>
      </c>
      <c r="O40" s="37">
        <f t="shared" si="0"/>
        <v>24</v>
      </c>
      <c r="P40" s="309" t="s">
        <v>769</v>
      </c>
      <c r="Q40" s="55">
        <v>2.7E-2</v>
      </c>
      <c r="R40" s="62" t="s">
        <v>473</v>
      </c>
      <c r="S40" s="62">
        <v>14.59</v>
      </c>
      <c r="T40" s="62">
        <v>0.66</v>
      </c>
      <c r="U40" s="63" t="s">
        <v>95</v>
      </c>
    </row>
    <row r="41" spans="1:21" s="3" customFormat="1" ht="18" customHeight="1">
      <c r="A41" s="15">
        <v>39</v>
      </c>
      <c r="B41" s="340" t="s">
        <v>96</v>
      </c>
      <c r="C41" s="26" t="s">
        <v>97</v>
      </c>
      <c r="D41" s="16" t="s">
        <v>474</v>
      </c>
      <c r="E41" s="22" t="s">
        <v>98</v>
      </c>
      <c r="F41" s="19" t="s">
        <v>41</v>
      </c>
      <c r="G41" s="27" t="s">
        <v>475</v>
      </c>
      <c r="H41" s="19" t="s">
        <v>41</v>
      </c>
      <c r="I41" s="44" t="s">
        <v>476</v>
      </c>
      <c r="J41" s="25">
        <v>29</v>
      </c>
      <c r="K41" s="147">
        <v>6.72</v>
      </c>
      <c r="L41" s="25">
        <v>6.72</v>
      </c>
      <c r="M41" s="339">
        <v>1</v>
      </c>
      <c r="N41" s="37">
        <v>0.8</v>
      </c>
      <c r="O41" s="37">
        <f t="shared" si="0"/>
        <v>23.200000000000003</v>
      </c>
      <c r="P41" s="309" t="s">
        <v>770</v>
      </c>
      <c r="Q41" s="55">
        <v>6.5000000000000002E-2</v>
      </c>
      <c r="R41" s="62" t="s">
        <v>477</v>
      </c>
      <c r="S41" s="62">
        <v>10.99</v>
      </c>
      <c r="T41" s="62">
        <v>0.18</v>
      </c>
      <c r="U41" s="63" t="s">
        <v>101</v>
      </c>
    </row>
    <row r="42" spans="1:21" s="3" customFormat="1" ht="18" customHeight="1">
      <c r="A42" s="15">
        <v>40</v>
      </c>
      <c r="B42" s="340"/>
      <c r="C42" s="26" t="s">
        <v>102</v>
      </c>
      <c r="D42" s="16" t="s">
        <v>478</v>
      </c>
      <c r="E42" s="22" t="s">
        <v>103</v>
      </c>
      <c r="F42" s="19" t="s">
        <v>41</v>
      </c>
      <c r="G42" s="27" t="s">
        <v>479</v>
      </c>
      <c r="H42" s="19" t="s">
        <v>41</v>
      </c>
      <c r="I42" s="44" t="s">
        <v>476</v>
      </c>
      <c r="J42" s="25">
        <v>30</v>
      </c>
      <c r="K42" s="147">
        <v>9</v>
      </c>
      <c r="L42" s="25">
        <v>9</v>
      </c>
      <c r="M42" s="339"/>
      <c r="N42" s="37">
        <v>0.8</v>
      </c>
      <c r="O42" s="37">
        <f t="shared" si="0"/>
        <v>24</v>
      </c>
      <c r="P42" s="309" t="s">
        <v>771</v>
      </c>
      <c r="Q42" s="55">
        <v>3.2000000000000001E-2</v>
      </c>
      <c r="R42" s="62"/>
      <c r="S42" s="62"/>
      <c r="T42" s="62"/>
      <c r="U42" s="63" t="s">
        <v>105</v>
      </c>
    </row>
    <row r="43" spans="1:21" s="3" customFormat="1" ht="18" customHeight="1">
      <c r="A43" s="15">
        <v>41</v>
      </c>
      <c r="B43" s="340" t="s">
        <v>106</v>
      </c>
      <c r="C43" s="26" t="s">
        <v>107</v>
      </c>
      <c r="D43" s="16" t="s">
        <v>480</v>
      </c>
      <c r="E43" s="22" t="s">
        <v>108</v>
      </c>
      <c r="F43" s="19" t="s">
        <v>41</v>
      </c>
      <c r="G43" s="25" t="s">
        <v>109</v>
      </c>
      <c r="H43" s="19" t="s">
        <v>41</v>
      </c>
      <c r="I43" s="44" t="s">
        <v>469</v>
      </c>
      <c r="J43" s="25">
        <v>30</v>
      </c>
      <c r="K43" s="147">
        <v>3.51</v>
      </c>
      <c r="L43" s="25">
        <v>3.51</v>
      </c>
      <c r="M43" s="339">
        <v>1</v>
      </c>
      <c r="N43" s="37">
        <v>0.8</v>
      </c>
      <c r="O43" s="37">
        <f t="shared" si="0"/>
        <v>24</v>
      </c>
      <c r="P43" s="309" t="s">
        <v>772</v>
      </c>
      <c r="Q43" s="55">
        <v>2.7E-2</v>
      </c>
      <c r="R43" s="62" t="s">
        <v>481</v>
      </c>
      <c r="S43" s="62">
        <v>11.4</v>
      </c>
      <c r="T43" s="62">
        <v>6.7000000000000004E-2</v>
      </c>
      <c r="U43" s="63" t="s">
        <v>110</v>
      </c>
    </row>
    <row r="44" spans="1:21" s="3" customFormat="1" ht="18" customHeight="1">
      <c r="A44" s="15">
        <v>42</v>
      </c>
      <c r="B44" s="340"/>
      <c r="C44" s="26" t="s">
        <v>111</v>
      </c>
      <c r="D44" s="28" t="s">
        <v>482</v>
      </c>
      <c r="E44" s="29" t="s">
        <v>483</v>
      </c>
      <c r="F44" s="19" t="s">
        <v>41</v>
      </c>
      <c r="G44" s="25" t="s">
        <v>93</v>
      </c>
      <c r="H44" s="19" t="s">
        <v>41</v>
      </c>
      <c r="I44" s="44" t="s">
        <v>484</v>
      </c>
      <c r="J44" s="25">
        <v>30</v>
      </c>
      <c r="K44" s="147">
        <v>2.7</v>
      </c>
      <c r="L44" s="25">
        <v>2.7</v>
      </c>
      <c r="M44" s="339"/>
      <c r="N44" s="37">
        <v>0.8</v>
      </c>
      <c r="O44" s="37">
        <f t="shared" si="0"/>
        <v>24</v>
      </c>
      <c r="P44" s="309" t="s">
        <v>773</v>
      </c>
      <c r="Q44" s="55">
        <v>0</v>
      </c>
      <c r="R44" s="62" t="s">
        <v>485</v>
      </c>
      <c r="S44" s="62">
        <v>10.26</v>
      </c>
      <c r="T44" s="62">
        <v>0.04</v>
      </c>
      <c r="U44" s="63" t="s">
        <v>114</v>
      </c>
    </row>
    <row r="45" spans="1:21" s="3" customFormat="1" ht="18" customHeight="1">
      <c r="A45" s="15">
        <v>43</v>
      </c>
      <c r="B45" s="340"/>
      <c r="C45" s="25" t="s">
        <v>115</v>
      </c>
      <c r="D45" s="16" t="s">
        <v>486</v>
      </c>
      <c r="E45" s="22" t="s">
        <v>116</v>
      </c>
      <c r="F45" s="19" t="s">
        <v>41</v>
      </c>
      <c r="G45" s="27" t="s">
        <v>487</v>
      </c>
      <c r="H45" s="19" t="s">
        <v>41</v>
      </c>
      <c r="I45" s="44" t="s">
        <v>484</v>
      </c>
      <c r="J45" s="25">
        <v>30</v>
      </c>
      <c r="K45" s="147">
        <v>4.08</v>
      </c>
      <c r="L45" s="25">
        <v>4.08</v>
      </c>
      <c r="M45" s="339"/>
      <c r="N45" s="37">
        <v>0.8</v>
      </c>
      <c r="O45" s="37">
        <f t="shared" si="0"/>
        <v>24</v>
      </c>
      <c r="P45" s="309" t="s">
        <v>491</v>
      </c>
      <c r="Q45" s="55">
        <v>2.7E-2</v>
      </c>
      <c r="R45" s="62" t="s">
        <v>488</v>
      </c>
      <c r="S45" s="62">
        <v>11.99</v>
      </c>
      <c r="T45" s="62">
        <v>8.5999999999999993E-2</v>
      </c>
      <c r="U45" s="63" t="s">
        <v>118</v>
      </c>
    </row>
    <row r="46" spans="1:21" s="3" customFormat="1" ht="18" customHeight="1">
      <c r="A46" s="15">
        <v>44</v>
      </c>
      <c r="B46" s="340" t="s">
        <v>119</v>
      </c>
      <c r="C46" s="25" t="s">
        <v>120</v>
      </c>
      <c r="D46" s="30" t="s">
        <v>489</v>
      </c>
      <c r="E46" s="22" t="s">
        <v>121</v>
      </c>
      <c r="F46" s="19" t="s">
        <v>41</v>
      </c>
      <c r="G46" s="27" t="s">
        <v>490</v>
      </c>
      <c r="H46" s="19" t="s">
        <v>41</v>
      </c>
      <c r="I46" s="44" t="s">
        <v>484</v>
      </c>
      <c r="J46" s="25">
        <v>27</v>
      </c>
      <c r="K46" s="147">
        <v>2.04</v>
      </c>
      <c r="L46" s="25">
        <v>2.04</v>
      </c>
      <c r="M46" s="339">
        <v>1</v>
      </c>
      <c r="N46" s="37">
        <v>0.8</v>
      </c>
      <c r="O46" s="37">
        <f t="shared" si="0"/>
        <v>21.6</v>
      </c>
      <c r="P46" s="309" t="s">
        <v>491</v>
      </c>
      <c r="Q46" s="55">
        <v>2.7E-2</v>
      </c>
      <c r="R46" s="62" t="s">
        <v>492</v>
      </c>
      <c r="S46" s="62"/>
      <c r="T46" s="62">
        <v>0.02</v>
      </c>
      <c r="U46" s="63" t="s">
        <v>123</v>
      </c>
    </row>
    <row r="47" spans="1:21" s="3" customFormat="1" ht="18" customHeight="1">
      <c r="A47" s="15">
        <v>45</v>
      </c>
      <c r="B47" s="340"/>
      <c r="C47" s="26" t="s">
        <v>124</v>
      </c>
      <c r="D47" s="16" t="s">
        <v>493</v>
      </c>
      <c r="E47" s="22" t="s">
        <v>125</v>
      </c>
      <c r="F47" s="19" t="s">
        <v>41</v>
      </c>
      <c r="G47" s="27" t="s">
        <v>494</v>
      </c>
      <c r="H47" s="19" t="s">
        <v>41</v>
      </c>
      <c r="I47" s="44" t="s">
        <v>484</v>
      </c>
      <c r="J47" s="25">
        <v>20</v>
      </c>
      <c r="K47" s="147">
        <v>12.3</v>
      </c>
      <c r="L47" s="25">
        <v>12.3</v>
      </c>
      <c r="M47" s="339"/>
      <c r="N47" s="37">
        <v>0.8</v>
      </c>
      <c r="O47" s="37">
        <f t="shared" si="0"/>
        <v>16</v>
      </c>
      <c r="P47" s="309" t="s">
        <v>774</v>
      </c>
      <c r="Q47" s="55">
        <v>0.12</v>
      </c>
      <c r="R47" s="54" t="s">
        <v>495</v>
      </c>
      <c r="S47" s="54">
        <v>14.98</v>
      </c>
      <c r="T47" s="54">
        <v>0.54</v>
      </c>
      <c r="U47" s="64" t="s">
        <v>127</v>
      </c>
    </row>
    <row r="48" spans="1:21" s="3" customFormat="1" ht="18" customHeight="1">
      <c r="A48" s="15">
        <v>46</v>
      </c>
      <c r="B48" s="340"/>
      <c r="C48" s="26" t="s">
        <v>128</v>
      </c>
      <c r="D48" s="17" t="s">
        <v>426</v>
      </c>
      <c r="E48" s="22" t="s">
        <v>40</v>
      </c>
      <c r="F48" s="19" t="s">
        <v>41</v>
      </c>
      <c r="G48" s="27" t="s">
        <v>487</v>
      </c>
      <c r="H48" s="19" t="s">
        <v>41</v>
      </c>
      <c r="I48" s="44" t="s">
        <v>496</v>
      </c>
      <c r="J48" s="25">
        <v>30</v>
      </c>
      <c r="K48" s="147">
        <v>17.7</v>
      </c>
      <c r="L48" s="25">
        <v>17.7</v>
      </c>
      <c r="M48" s="339"/>
      <c r="N48" s="37">
        <v>0.55000000000000004</v>
      </c>
      <c r="O48" s="37">
        <f t="shared" si="0"/>
        <v>16.5</v>
      </c>
      <c r="P48" s="309" t="s">
        <v>764</v>
      </c>
      <c r="Q48" s="55">
        <v>0.12</v>
      </c>
      <c r="R48" s="62" t="s">
        <v>497</v>
      </c>
      <c r="S48" s="62"/>
      <c r="T48" s="62">
        <v>0.54</v>
      </c>
      <c r="U48" s="63" t="s">
        <v>131</v>
      </c>
    </row>
    <row r="49" spans="1:21" s="3" customFormat="1" ht="18" customHeight="1">
      <c r="A49" s="15">
        <v>47</v>
      </c>
      <c r="B49" s="340" t="s">
        <v>132</v>
      </c>
      <c r="C49" s="26" t="s">
        <v>133</v>
      </c>
      <c r="D49" s="16" t="s">
        <v>498</v>
      </c>
      <c r="E49" s="22" t="s">
        <v>134</v>
      </c>
      <c r="F49" s="19" t="s">
        <v>41</v>
      </c>
      <c r="G49" s="27" t="s">
        <v>499</v>
      </c>
      <c r="H49" s="19" t="s">
        <v>41</v>
      </c>
      <c r="I49" s="44" t="s">
        <v>469</v>
      </c>
      <c r="J49" s="25">
        <v>30</v>
      </c>
      <c r="K49" s="147">
        <v>9.9</v>
      </c>
      <c r="L49" s="25">
        <v>9.9</v>
      </c>
      <c r="M49" s="339">
        <v>1</v>
      </c>
      <c r="N49" s="37">
        <v>0.8</v>
      </c>
      <c r="O49" s="37">
        <f t="shared" si="0"/>
        <v>24</v>
      </c>
      <c r="P49" s="309" t="s">
        <v>775</v>
      </c>
      <c r="Q49" s="55">
        <v>2.7E-2</v>
      </c>
      <c r="R49" s="62" t="s">
        <v>500</v>
      </c>
      <c r="S49" s="62"/>
      <c r="T49" s="62">
        <v>0.28000000000000003</v>
      </c>
      <c r="U49" s="63" t="s">
        <v>136</v>
      </c>
    </row>
    <row r="50" spans="1:21" s="3" customFormat="1" ht="18" customHeight="1">
      <c r="A50" s="15">
        <v>48</v>
      </c>
      <c r="B50" s="340"/>
      <c r="C50" s="26" t="s">
        <v>124</v>
      </c>
      <c r="D50" s="16" t="s">
        <v>493</v>
      </c>
      <c r="E50" s="22" t="s">
        <v>125</v>
      </c>
      <c r="F50" s="19" t="s">
        <v>41</v>
      </c>
      <c r="G50" s="27" t="s">
        <v>494</v>
      </c>
      <c r="H50" s="19" t="s">
        <v>41</v>
      </c>
      <c r="I50" s="44" t="s">
        <v>484</v>
      </c>
      <c r="J50" s="25">
        <v>10</v>
      </c>
      <c r="K50" s="147">
        <v>6.9</v>
      </c>
      <c r="L50" s="25">
        <v>6.9</v>
      </c>
      <c r="M50" s="339"/>
      <c r="N50" s="37">
        <v>0.8</v>
      </c>
      <c r="O50" s="37">
        <f t="shared" si="0"/>
        <v>8</v>
      </c>
      <c r="P50" s="309" t="s">
        <v>774</v>
      </c>
      <c r="Q50" s="55">
        <v>0.12</v>
      </c>
      <c r="R50" s="54" t="s">
        <v>495</v>
      </c>
      <c r="S50" s="54">
        <v>14.98</v>
      </c>
      <c r="T50" s="54">
        <v>0.54</v>
      </c>
      <c r="U50" s="25" t="s">
        <v>127</v>
      </c>
    </row>
    <row r="51" spans="1:21" s="3" customFormat="1" ht="18" customHeight="1">
      <c r="A51" s="15">
        <v>49</v>
      </c>
      <c r="B51" s="340"/>
      <c r="C51" s="26" t="s">
        <v>137</v>
      </c>
      <c r="D51" s="28" t="s">
        <v>482</v>
      </c>
      <c r="E51" s="29" t="s">
        <v>483</v>
      </c>
      <c r="F51" s="19" t="s">
        <v>41</v>
      </c>
      <c r="G51" s="27" t="s">
        <v>501</v>
      </c>
      <c r="H51" s="19" t="s">
        <v>41</v>
      </c>
      <c r="I51" s="44" t="s">
        <v>484</v>
      </c>
      <c r="J51" s="25">
        <v>26</v>
      </c>
      <c r="K51" s="147">
        <v>4.0999999999999996</v>
      </c>
      <c r="L51" s="25">
        <v>4.0999999999999996</v>
      </c>
      <c r="M51" s="339"/>
      <c r="N51" s="37">
        <v>0.8</v>
      </c>
      <c r="O51" s="37">
        <f t="shared" si="0"/>
        <v>20.8</v>
      </c>
      <c r="P51" s="309" t="s">
        <v>773</v>
      </c>
      <c r="Q51" s="55">
        <v>0</v>
      </c>
      <c r="R51" s="62" t="s">
        <v>502</v>
      </c>
      <c r="S51" s="62">
        <v>11.99</v>
      </c>
      <c r="T51" s="62">
        <v>0.1</v>
      </c>
      <c r="U51" s="63" t="s">
        <v>140</v>
      </c>
    </row>
    <row r="52" spans="1:21" s="3" customFormat="1" ht="18" customHeight="1">
      <c r="A52" s="15">
        <v>50</v>
      </c>
      <c r="B52" s="25" t="s">
        <v>141</v>
      </c>
      <c r="C52" s="26" t="s">
        <v>128</v>
      </c>
      <c r="D52" s="17" t="s">
        <v>426</v>
      </c>
      <c r="E52" s="22" t="s">
        <v>40</v>
      </c>
      <c r="F52" s="19" t="s">
        <v>41</v>
      </c>
      <c r="G52" s="27" t="s">
        <v>487</v>
      </c>
      <c r="H52" s="19" t="s">
        <v>41</v>
      </c>
      <c r="I52" s="44" t="s">
        <v>496</v>
      </c>
      <c r="J52" s="25">
        <v>30</v>
      </c>
      <c r="K52" s="147">
        <v>7.5</v>
      </c>
      <c r="L52" s="25">
        <v>7.5</v>
      </c>
      <c r="M52" s="26">
        <v>1</v>
      </c>
      <c r="N52" s="37">
        <v>0.55000000000000004</v>
      </c>
      <c r="O52" s="37">
        <f t="shared" si="0"/>
        <v>16.5</v>
      </c>
      <c r="P52" s="309" t="s">
        <v>764</v>
      </c>
      <c r="Q52" s="55">
        <v>0.12</v>
      </c>
      <c r="R52" s="62" t="s">
        <v>503</v>
      </c>
      <c r="S52" s="62"/>
      <c r="T52" s="62">
        <v>0.2</v>
      </c>
      <c r="U52" s="63" t="s">
        <v>142</v>
      </c>
    </row>
    <row r="53" spans="1:21" s="3" customFormat="1" ht="18" customHeight="1">
      <c r="A53" s="15">
        <v>51</v>
      </c>
      <c r="B53" s="340" t="s">
        <v>143</v>
      </c>
      <c r="C53" s="26" t="s">
        <v>144</v>
      </c>
      <c r="D53" s="16" t="s">
        <v>504</v>
      </c>
      <c r="E53" s="22" t="s">
        <v>145</v>
      </c>
      <c r="F53" s="19" t="s">
        <v>41</v>
      </c>
      <c r="G53" s="27" t="s">
        <v>499</v>
      </c>
      <c r="H53" s="19" t="s">
        <v>41</v>
      </c>
      <c r="I53" s="44" t="s">
        <v>476</v>
      </c>
      <c r="J53" s="25">
        <v>30</v>
      </c>
      <c r="K53" s="147">
        <v>9</v>
      </c>
      <c r="L53" s="25">
        <v>9</v>
      </c>
      <c r="M53" s="339">
        <v>1</v>
      </c>
      <c r="N53" s="37">
        <v>0.8</v>
      </c>
      <c r="O53" s="37">
        <f t="shared" si="0"/>
        <v>24</v>
      </c>
      <c r="P53" s="309" t="s">
        <v>771</v>
      </c>
      <c r="Q53" s="55">
        <v>3.2000000000000001E-2</v>
      </c>
      <c r="R53" s="62"/>
      <c r="S53" s="62"/>
      <c r="T53" s="62"/>
      <c r="U53" s="63" t="s">
        <v>146</v>
      </c>
    </row>
    <row r="54" spans="1:21" s="3" customFormat="1" ht="18" customHeight="1">
      <c r="A54" s="15">
        <v>52</v>
      </c>
      <c r="B54" s="340"/>
      <c r="C54" s="26" t="s">
        <v>147</v>
      </c>
      <c r="D54" s="16" t="s">
        <v>505</v>
      </c>
      <c r="E54" s="22" t="s">
        <v>148</v>
      </c>
      <c r="F54" s="19" t="s">
        <v>41</v>
      </c>
      <c r="G54" s="27" t="s">
        <v>506</v>
      </c>
      <c r="H54" s="19" t="s">
        <v>41</v>
      </c>
      <c r="I54" s="44" t="s">
        <v>472</v>
      </c>
      <c r="J54" s="25">
        <v>27</v>
      </c>
      <c r="K54" s="147">
        <v>2.58</v>
      </c>
      <c r="L54" s="25">
        <v>2.58</v>
      </c>
      <c r="M54" s="339"/>
      <c r="N54" s="37">
        <v>0.8</v>
      </c>
      <c r="O54" s="37">
        <f t="shared" si="0"/>
        <v>21.6</v>
      </c>
      <c r="P54" s="309" t="s">
        <v>776</v>
      </c>
      <c r="Q54" s="55">
        <v>5.6000000000000001E-2</v>
      </c>
      <c r="R54" s="62" t="s">
        <v>507</v>
      </c>
      <c r="S54" s="62">
        <v>8.99</v>
      </c>
      <c r="T54" s="62">
        <v>0.04</v>
      </c>
      <c r="U54" s="63" t="s">
        <v>150</v>
      </c>
    </row>
    <row r="55" spans="1:21" s="3" customFormat="1" ht="18" customHeight="1">
      <c r="A55" s="15">
        <v>53</v>
      </c>
      <c r="B55" s="340"/>
      <c r="C55" s="26" t="s">
        <v>151</v>
      </c>
      <c r="D55" s="16" t="s">
        <v>508</v>
      </c>
      <c r="E55" s="22" t="s">
        <v>152</v>
      </c>
      <c r="F55" s="19" t="s">
        <v>41</v>
      </c>
      <c r="G55" s="27" t="s">
        <v>487</v>
      </c>
      <c r="H55" s="19" t="s">
        <v>41</v>
      </c>
      <c r="I55" s="44" t="s">
        <v>484</v>
      </c>
      <c r="J55" s="25">
        <v>30</v>
      </c>
      <c r="K55" s="147">
        <v>6</v>
      </c>
      <c r="L55" s="25">
        <v>6</v>
      </c>
      <c r="M55" s="339"/>
      <c r="N55" s="37">
        <v>0.8</v>
      </c>
      <c r="O55" s="37">
        <f t="shared" si="0"/>
        <v>24</v>
      </c>
      <c r="P55" s="309" t="s">
        <v>773</v>
      </c>
      <c r="Q55" s="55">
        <v>0</v>
      </c>
      <c r="R55" s="62" t="s">
        <v>509</v>
      </c>
      <c r="S55" s="62">
        <v>13.66</v>
      </c>
      <c r="T55" s="62">
        <v>0.15</v>
      </c>
      <c r="U55" s="63" t="s">
        <v>153</v>
      </c>
    </row>
    <row r="56" spans="1:21" s="3" customFormat="1" ht="18" customHeight="1">
      <c r="A56" s="15">
        <v>54</v>
      </c>
      <c r="B56" s="25" t="s">
        <v>154</v>
      </c>
      <c r="C56" s="26" t="s">
        <v>155</v>
      </c>
      <c r="D56" s="17" t="s">
        <v>426</v>
      </c>
      <c r="E56" s="22" t="s">
        <v>40</v>
      </c>
      <c r="F56" s="19" t="s">
        <v>41</v>
      </c>
      <c r="G56" s="27" t="s">
        <v>487</v>
      </c>
      <c r="H56" s="19" t="s">
        <v>41</v>
      </c>
      <c r="I56" s="44" t="s">
        <v>484</v>
      </c>
      <c r="J56" s="25">
        <v>30</v>
      </c>
      <c r="K56" s="147">
        <v>7.5</v>
      </c>
      <c r="L56" s="25">
        <v>7.5</v>
      </c>
      <c r="M56" s="26">
        <v>1</v>
      </c>
      <c r="N56" s="37">
        <v>0.55000000000000004</v>
      </c>
      <c r="O56" s="37">
        <f t="shared" si="0"/>
        <v>16.5</v>
      </c>
      <c r="P56" s="309" t="s">
        <v>764</v>
      </c>
      <c r="Q56" s="55">
        <v>0.12</v>
      </c>
      <c r="R56" s="62" t="s">
        <v>510</v>
      </c>
      <c r="S56" s="62">
        <v>10.19</v>
      </c>
      <c r="T56" s="62">
        <v>0.2</v>
      </c>
      <c r="U56" s="63" t="s">
        <v>157</v>
      </c>
    </row>
    <row r="57" spans="1:21" s="3" customFormat="1" ht="18" customHeight="1">
      <c r="A57" s="15">
        <v>55</v>
      </c>
      <c r="B57" s="340" t="s">
        <v>158</v>
      </c>
      <c r="C57" s="26" t="s">
        <v>159</v>
      </c>
      <c r="D57" s="16" t="s">
        <v>511</v>
      </c>
      <c r="E57" s="22" t="s">
        <v>164</v>
      </c>
      <c r="F57" s="19" t="s">
        <v>41</v>
      </c>
      <c r="G57" s="27" t="s">
        <v>487</v>
      </c>
      <c r="H57" s="19" t="s">
        <v>41</v>
      </c>
      <c r="I57" s="44" t="s">
        <v>484</v>
      </c>
      <c r="J57" s="25">
        <v>30</v>
      </c>
      <c r="K57" s="147">
        <v>2.46</v>
      </c>
      <c r="L57" s="25">
        <v>2.46</v>
      </c>
      <c r="M57" s="339">
        <v>1</v>
      </c>
      <c r="N57" s="37">
        <v>0.8</v>
      </c>
      <c r="O57" s="37">
        <f t="shared" si="0"/>
        <v>24</v>
      </c>
      <c r="P57" s="309" t="s">
        <v>491</v>
      </c>
      <c r="Q57" s="55">
        <v>2.7E-2</v>
      </c>
      <c r="R57" s="62" t="s">
        <v>512</v>
      </c>
      <c r="S57" s="62">
        <v>8.8800000000000008</v>
      </c>
      <c r="T57" s="62">
        <v>3.2000000000000001E-2</v>
      </c>
      <c r="U57" s="63" t="s">
        <v>161</v>
      </c>
    </row>
    <row r="58" spans="1:21" s="3" customFormat="1" ht="18" customHeight="1">
      <c r="A58" s="15">
        <v>56</v>
      </c>
      <c r="B58" s="340"/>
      <c r="C58" s="26" t="s">
        <v>91</v>
      </c>
      <c r="D58" s="16" t="s">
        <v>471</v>
      </c>
      <c r="E58" s="22" t="s">
        <v>92</v>
      </c>
      <c r="F58" s="19" t="s">
        <v>41</v>
      </c>
      <c r="G58" s="25" t="s">
        <v>93</v>
      </c>
      <c r="H58" s="19" t="s">
        <v>41</v>
      </c>
      <c r="I58" s="44" t="s">
        <v>472</v>
      </c>
      <c r="J58" s="25">
        <v>29</v>
      </c>
      <c r="K58" s="147">
        <v>20.64</v>
      </c>
      <c r="L58" s="25">
        <v>20.64</v>
      </c>
      <c r="M58" s="339"/>
      <c r="N58" s="37">
        <v>0.8</v>
      </c>
      <c r="O58" s="37">
        <f t="shared" si="0"/>
        <v>23.200000000000003</v>
      </c>
      <c r="P58" s="309" t="s">
        <v>769</v>
      </c>
      <c r="Q58" s="55">
        <v>2.7E-2</v>
      </c>
      <c r="R58" s="62" t="s">
        <v>473</v>
      </c>
      <c r="S58" s="62">
        <v>14.59</v>
      </c>
      <c r="T58" s="62">
        <v>0.66</v>
      </c>
      <c r="U58" s="25" t="s">
        <v>162</v>
      </c>
    </row>
    <row r="59" spans="1:21" s="3" customFormat="1" ht="18" customHeight="1">
      <c r="A59" s="15">
        <v>57</v>
      </c>
      <c r="B59" s="340"/>
      <c r="C59" s="26" t="s">
        <v>163</v>
      </c>
      <c r="D59" s="16" t="s">
        <v>513</v>
      </c>
      <c r="E59" s="22" t="s">
        <v>514</v>
      </c>
      <c r="F59" s="19" t="s">
        <v>41</v>
      </c>
      <c r="G59" s="27" t="s">
        <v>515</v>
      </c>
      <c r="H59" s="19" t="s">
        <v>41</v>
      </c>
      <c r="I59" s="44" t="s">
        <v>484</v>
      </c>
      <c r="J59" s="25">
        <v>30</v>
      </c>
      <c r="K59" s="147">
        <v>3.96</v>
      </c>
      <c r="L59" s="25">
        <v>3.96</v>
      </c>
      <c r="M59" s="339"/>
      <c r="N59" s="37">
        <v>0.8</v>
      </c>
      <c r="O59" s="37">
        <f t="shared" si="0"/>
        <v>24</v>
      </c>
      <c r="P59" s="309" t="s">
        <v>491</v>
      </c>
      <c r="Q59" s="55">
        <v>2.7E-2</v>
      </c>
      <c r="R59" s="62" t="s">
        <v>516</v>
      </c>
      <c r="S59" s="62">
        <v>6.99</v>
      </c>
      <c r="T59" s="62">
        <v>8.2000000000000003E-2</v>
      </c>
      <c r="U59" s="63" t="s">
        <v>166</v>
      </c>
    </row>
    <row r="60" spans="1:21" s="3" customFormat="1" ht="18" customHeight="1">
      <c r="A60" s="15">
        <v>58</v>
      </c>
      <c r="B60" s="25" t="s">
        <v>167</v>
      </c>
      <c r="C60" s="26" t="s">
        <v>124</v>
      </c>
      <c r="D60" s="16" t="s">
        <v>493</v>
      </c>
      <c r="E60" s="22" t="s">
        <v>125</v>
      </c>
      <c r="F60" s="19" t="s">
        <v>41</v>
      </c>
      <c r="G60" s="27" t="s">
        <v>517</v>
      </c>
      <c r="H60" s="19" t="s">
        <v>41</v>
      </c>
      <c r="I60" s="44" t="s">
        <v>484</v>
      </c>
      <c r="J60" s="25">
        <v>15</v>
      </c>
      <c r="K60" s="147">
        <v>9.6</v>
      </c>
      <c r="L60" s="25">
        <v>9.6</v>
      </c>
      <c r="M60" s="26">
        <v>1</v>
      </c>
      <c r="N60" s="37">
        <v>0.8</v>
      </c>
      <c r="O60" s="37">
        <f t="shared" si="0"/>
        <v>12</v>
      </c>
      <c r="P60" s="309" t="s">
        <v>774</v>
      </c>
      <c r="Q60" s="55">
        <v>0.12</v>
      </c>
      <c r="R60" s="54" t="s">
        <v>495</v>
      </c>
      <c r="S60" s="54">
        <v>14.98</v>
      </c>
      <c r="T60" s="54">
        <v>0.54</v>
      </c>
      <c r="U60" s="25" t="s">
        <v>127</v>
      </c>
    </row>
    <row r="61" spans="1:21" s="3" customFormat="1" ht="18" customHeight="1">
      <c r="A61" s="15">
        <v>59</v>
      </c>
      <c r="B61" s="25" t="s">
        <v>169</v>
      </c>
      <c r="C61" s="26" t="s">
        <v>124</v>
      </c>
      <c r="D61" s="16" t="s">
        <v>493</v>
      </c>
      <c r="E61" s="22" t="s">
        <v>125</v>
      </c>
      <c r="F61" s="19" t="s">
        <v>41</v>
      </c>
      <c r="G61" s="27" t="s">
        <v>517</v>
      </c>
      <c r="H61" s="19" t="s">
        <v>41</v>
      </c>
      <c r="I61" s="44" t="s">
        <v>484</v>
      </c>
      <c r="J61" s="25">
        <v>15</v>
      </c>
      <c r="K61" s="147">
        <v>9.6</v>
      </c>
      <c r="L61" s="25">
        <v>9.6</v>
      </c>
      <c r="M61" s="26">
        <v>1</v>
      </c>
      <c r="N61" s="37">
        <v>0.8</v>
      </c>
      <c r="O61" s="37">
        <f t="shared" si="0"/>
        <v>12</v>
      </c>
      <c r="P61" s="309" t="s">
        <v>774</v>
      </c>
      <c r="Q61" s="55">
        <v>0.12</v>
      </c>
      <c r="R61" s="54" t="s">
        <v>495</v>
      </c>
      <c r="S61" s="54">
        <v>14.98</v>
      </c>
      <c r="T61" s="54">
        <v>0.54</v>
      </c>
      <c r="U61" s="25" t="s">
        <v>127</v>
      </c>
    </row>
    <row r="62" spans="1:21" s="3" customFormat="1" ht="18" customHeight="1">
      <c r="A62" s="15">
        <v>60</v>
      </c>
      <c r="B62" s="25" t="s">
        <v>170</v>
      </c>
      <c r="C62" s="26" t="s">
        <v>124</v>
      </c>
      <c r="D62" s="16" t="s">
        <v>493</v>
      </c>
      <c r="E62" s="18" t="s">
        <v>125</v>
      </c>
      <c r="F62" s="19" t="s">
        <v>41</v>
      </c>
      <c r="G62" s="27" t="s">
        <v>518</v>
      </c>
      <c r="H62" s="19" t="s">
        <v>41</v>
      </c>
      <c r="I62" s="44" t="s">
        <v>484</v>
      </c>
      <c r="J62" s="25">
        <v>22</v>
      </c>
      <c r="K62" s="147">
        <v>13.38</v>
      </c>
      <c r="L62" s="25">
        <v>13.38</v>
      </c>
      <c r="M62" s="26">
        <v>1</v>
      </c>
      <c r="N62" s="37">
        <v>0.8</v>
      </c>
      <c r="O62" s="37">
        <f t="shared" si="0"/>
        <v>17.600000000000001</v>
      </c>
      <c r="P62" s="309" t="s">
        <v>774</v>
      </c>
      <c r="Q62" s="55">
        <v>0.12</v>
      </c>
      <c r="R62" s="54" t="s">
        <v>495</v>
      </c>
      <c r="S62" s="54">
        <v>14.98</v>
      </c>
      <c r="T62" s="54">
        <v>0.54</v>
      </c>
      <c r="U62" s="25" t="s">
        <v>127</v>
      </c>
    </row>
    <row r="63" spans="1:21" s="3" customFormat="1" ht="18" customHeight="1">
      <c r="A63" s="15">
        <v>61</v>
      </c>
      <c r="B63" s="25" t="s">
        <v>172</v>
      </c>
      <c r="C63" s="26" t="s">
        <v>124</v>
      </c>
      <c r="D63" s="16" t="s">
        <v>493</v>
      </c>
      <c r="E63" s="22" t="s">
        <v>125</v>
      </c>
      <c r="F63" s="19" t="s">
        <v>41</v>
      </c>
      <c r="G63" s="27" t="s">
        <v>518</v>
      </c>
      <c r="H63" s="19" t="s">
        <v>41</v>
      </c>
      <c r="I63" s="44" t="s">
        <v>484</v>
      </c>
      <c r="J63" s="25">
        <v>22</v>
      </c>
      <c r="K63" s="147">
        <v>13.38</v>
      </c>
      <c r="L63" s="25">
        <v>13.38</v>
      </c>
      <c r="M63" s="26">
        <v>1</v>
      </c>
      <c r="N63" s="37">
        <v>0.8</v>
      </c>
      <c r="O63" s="37">
        <f t="shared" si="0"/>
        <v>17.600000000000001</v>
      </c>
      <c r="P63" s="309" t="s">
        <v>774</v>
      </c>
      <c r="Q63" s="55">
        <v>0.12</v>
      </c>
      <c r="R63" s="54" t="s">
        <v>495</v>
      </c>
      <c r="S63" s="54">
        <v>14.98</v>
      </c>
      <c r="T63" s="54">
        <v>0.54</v>
      </c>
      <c r="U63" s="25" t="s">
        <v>127</v>
      </c>
    </row>
    <row r="64" spans="1:21" s="3" customFormat="1" ht="18" customHeight="1">
      <c r="A64" s="15">
        <v>62</v>
      </c>
      <c r="B64" s="340" t="s">
        <v>173</v>
      </c>
      <c r="C64" s="26" t="s">
        <v>174</v>
      </c>
      <c r="D64" s="28" t="s">
        <v>482</v>
      </c>
      <c r="E64" s="29" t="s">
        <v>483</v>
      </c>
      <c r="F64" s="19" t="s">
        <v>41</v>
      </c>
      <c r="G64" s="27" t="s">
        <v>487</v>
      </c>
      <c r="H64" s="19" t="s">
        <v>41</v>
      </c>
      <c r="I64" s="44" t="s">
        <v>484</v>
      </c>
      <c r="J64" s="25">
        <v>30</v>
      </c>
      <c r="K64" s="147">
        <v>2.7</v>
      </c>
      <c r="L64" s="25">
        <v>2.7</v>
      </c>
      <c r="M64" s="339">
        <v>1</v>
      </c>
      <c r="N64" s="37">
        <v>0.8</v>
      </c>
      <c r="O64" s="37">
        <f t="shared" si="0"/>
        <v>24</v>
      </c>
      <c r="P64" s="309" t="s">
        <v>773</v>
      </c>
      <c r="Q64" s="55">
        <v>0</v>
      </c>
      <c r="R64" s="62" t="s">
        <v>519</v>
      </c>
      <c r="S64" s="62">
        <v>8.99</v>
      </c>
      <c r="T64" s="62">
        <v>0.04</v>
      </c>
      <c r="U64" s="63" t="s">
        <v>176</v>
      </c>
    </row>
    <row r="65" spans="1:21" s="3" customFormat="1" ht="18" customHeight="1">
      <c r="A65" s="15">
        <v>63</v>
      </c>
      <c r="B65" s="340"/>
      <c r="C65" s="26" t="s">
        <v>177</v>
      </c>
      <c r="D65" s="65" t="s">
        <v>520</v>
      </c>
      <c r="E65" s="66" t="s">
        <v>521</v>
      </c>
      <c r="F65" s="19" t="s">
        <v>41</v>
      </c>
      <c r="G65" s="27" t="s">
        <v>475</v>
      </c>
      <c r="H65" s="19" t="s">
        <v>41</v>
      </c>
      <c r="I65" s="44" t="s">
        <v>472</v>
      </c>
      <c r="J65" s="25">
        <v>2</v>
      </c>
      <c r="K65" s="147">
        <v>1.8</v>
      </c>
      <c r="L65" s="25">
        <v>1.8</v>
      </c>
      <c r="M65" s="339"/>
      <c r="N65" s="37">
        <v>0.8</v>
      </c>
      <c r="O65" s="37">
        <f t="shared" si="0"/>
        <v>1.6</v>
      </c>
      <c r="P65" s="309" t="s">
        <v>768</v>
      </c>
      <c r="Q65" s="55">
        <v>6.5000000000000002E-2</v>
      </c>
      <c r="R65" s="62" t="s">
        <v>522</v>
      </c>
      <c r="S65" s="62">
        <v>21.99</v>
      </c>
      <c r="T65" s="62">
        <v>0.15</v>
      </c>
      <c r="U65" s="63" t="s">
        <v>179</v>
      </c>
    </row>
    <row r="66" spans="1:21" s="3" customFormat="1" ht="18" customHeight="1">
      <c r="A66" s="15">
        <v>64</v>
      </c>
      <c r="B66" s="340"/>
      <c r="C66" s="26" t="s">
        <v>180</v>
      </c>
      <c r="D66" s="67" t="s">
        <v>523</v>
      </c>
      <c r="E66" s="22" t="s">
        <v>181</v>
      </c>
      <c r="F66" s="19" t="s">
        <v>41</v>
      </c>
      <c r="G66" s="27" t="s">
        <v>524</v>
      </c>
      <c r="H66" s="19" t="s">
        <v>41</v>
      </c>
      <c r="I66" s="44" t="s">
        <v>484</v>
      </c>
      <c r="J66" s="25">
        <v>30</v>
      </c>
      <c r="K66" s="147">
        <v>4.5</v>
      </c>
      <c r="L66" s="25">
        <v>4.5</v>
      </c>
      <c r="M66" s="339"/>
      <c r="N66" s="37">
        <v>0.8</v>
      </c>
      <c r="O66" s="37">
        <f t="shared" si="0"/>
        <v>24</v>
      </c>
      <c r="P66" s="309" t="s">
        <v>773</v>
      </c>
      <c r="Q66" s="55">
        <v>0</v>
      </c>
      <c r="R66" s="62" t="s">
        <v>525</v>
      </c>
      <c r="S66" s="62">
        <v>12.99</v>
      </c>
      <c r="T66" s="62">
        <v>0.1</v>
      </c>
      <c r="U66" s="63" t="s">
        <v>183</v>
      </c>
    </row>
    <row r="67" spans="1:21" s="3" customFormat="1" ht="18" customHeight="1">
      <c r="A67" s="15">
        <v>65</v>
      </c>
      <c r="B67" s="25" t="s">
        <v>184</v>
      </c>
      <c r="C67" s="26" t="s">
        <v>177</v>
      </c>
      <c r="D67" s="65" t="s">
        <v>520</v>
      </c>
      <c r="E67" s="66" t="s">
        <v>521</v>
      </c>
      <c r="F67" s="19" t="s">
        <v>41</v>
      </c>
      <c r="G67" s="27" t="s">
        <v>475</v>
      </c>
      <c r="H67" s="19" t="s">
        <v>41</v>
      </c>
      <c r="I67" s="44" t="s">
        <v>472</v>
      </c>
      <c r="J67" s="25">
        <v>28</v>
      </c>
      <c r="K67" s="147">
        <v>5.7</v>
      </c>
      <c r="L67" s="25">
        <v>5.7</v>
      </c>
      <c r="M67" s="26">
        <v>1</v>
      </c>
      <c r="N67" s="37">
        <v>0.8</v>
      </c>
      <c r="O67" s="37">
        <f t="shared" ref="O67:O130" si="1">N67*J67</f>
        <v>22.400000000000002</v>
      </c>
      <c r="P67" s="309" t="s">
        <v>768</v>
      </c>
      <c r="Q67" s="55">
        <v>6.5000000000000002E-2</v>
      </c>
      <c r="R67" s="62" t="s">
        <v>522</v>
      </c>
      <c r="S67" s="62">
        <v>21.99</v>
      </c>
      <c r="T67" s="62">
        <v>0.15</v>
      </c>
      <c r="U67" s="25" t="s">
        <v>179</v>
      </c>
    </row>
    <row r="68" spans="1:21" s="3" customFormat="1" ht="18" customHeight="1">
      <c r="A68" s="15">
        <v>66</v>
      </c>
      <c r="B68" s="340" t="s">
        <v>185</v>
      </c>
      <c r="C68" s="26" t="s">
        <v>124</v>
      </c>
      <c r="D68" s="16" t="s">
        <v>493</v>
      </c>
      <c r="E68" s="22" t="s">
        <v>125</v>
      </c>
      <c r="F68" s="19" t="s">
        <v>41</v>
      </c>
      <c r="G68" s="27" t="s">
        <v>518</v>
      </c>
      <c r="H68" s="19" t="s">
        <v>41</v>
      </c>
      <c r="I68" s="44" t="s">
        <v>484</v>
      </c>
      <c r="J68" s="25">
        <v>8</v>
      </c>
      <c r="K68" s="147">
        <v>5.82</v>
      </c>
      <c r="L68" s="25">
        <v>5.82</v>
      </c>
      <c r="M68" s="339">
        <v>1</v>
      </c>
      <c r="N68" s="37">
        <v>0.8</v>
      </c>
      <c r="O68" s="37">
        <f t="shared" si="1"/>
        <v>6.4</v>
      </c>
      <c r="P68" s="309" t="s">
        <v>774</v>
      </c>
      <c r="Q68" s="55">
        <v>0.12</v>
      </c>
      <c r="R68" s="54" t="s">
        <v>495</v>
      </c>
      <c r="S68" s="54">
        <v>14.98</v>
      </c>
      <c r="T68" s="54">
        <v>0.54</v>
      </c>
      <c r="U68" s="25" t="s">
        <v>127</v>
      </c>
    </row>
    <row r="69" spans="1:21" s="3" customFormat="1" ht="18" customHeight="1">
      <c r="A69" s="15">
        <v>67</v>
      </c>
      <c r="B69" s="340"/>
      <c r="C69" s="26" t="s">
        <v>186</v>
      </c>
      <c r="D69" s="16" t="s">
        <v>526</v>
      </c>
      <c r="E69" s="22" t="s">
        <v>187</v>
      </c>
      <c r="F69" s="19" t="s">
        <v>41</v>
      </c>
      <c r="G69" s="27" t="s">
        <v>527</v>
      </c>
      <c r="H69" s="19" t="s">
        <v>41</v>
      </c>
      <c r="I69" s="44" t="s">
        <v>528</v>
      </c>
      <c r="J69" s="25">
        <v>30</v>
      </c>
      <c r="K69" s="147">
        <v>4.5</v>
      </c>
      <c r="L69" s="25">
        <v>4.5</v>
      </c>
      <c r="M69" s="339"/>
      <c r="N69" s="37">
        <v>0.8</v>
      </c>
      <c r="O69" s="37">
        <f t="shared" si="1"/>
        <v>24</v>
      </c>
      <c r="P69" s="309" t="s">
        <v>777</v>
      </c>
      <c r="Q69" s="55">
        <v>6.3E-2</v>
      </c>
      <c r="R69" s="62" t="s">
        <v>529</v>
      </c>
      <c r="S69" s="62">
        <v>5.67</v>
      </c>
      <c r="T69" s="62">
        <v>0.1</v>
      </c>
      <c r="U69" s="88" t="s">
        <v>190</v>
      </c>
    </row>
    <row r="70" spans="1:21" s="3" customFormat="1" ht="18" customHeight="1">
      <c r="A70" s="15">
        <v>68</v>
      </c>
      <c r="B70" s="340"/>
      <c r="C70" s="26" t="s">
        <v>151</v>
      </c>
      <c r="D70" s="16" t="s">
        <v>508</v>
      </c>
      <c r="E70" s="22" t="s">
        <v>152</v>
      </c>
      <c r="F70" s="19" t="s">
        <v>41</v>
      </c>
      <c r="G70" s="27" t="s">
        <v>515</v>
      </c>
      <c r="H70" s="19" t="s">
        <v>41</v>
      </c>
      <c r="I70" s="44" t="s">
        <v>484</v>
      </c>
      <c r="J70" s="25">
        <v>30</v>
      </c>
      <c r="K70" s="147">
        <v>6</v>
      </c>
      <c r="L70" s="25">
        <v>6</v>
      </c>
      <c r="M70" s="339"/>
      <c r="N70" s="37">
        <v>0.8</v>
      </c>
      <c r="O70" s="37">
        <f t="shared" si="1"/>
        <v>24</v>
      </c>
      <c r="P70" s="309" t="s">
        <v>773</v>
      </c>
      <c r="Q70" s="55">
        <v>0</v>
      </c>
      <c r="R70" s="62" t="s">
        <v>509</v>
      </c>
      <c r="S70" s="62">
        <v>13.66</v>
      </c>
      <c r="T70" s="62">
        <v>0.15</v>
      </c>
      <c r="U70" s="25" t="s">
        <v>191</v>
      </c>
    </row>
    <row r="71" spans="1:21" s="3" customFormat="1" ht="18" customHeight="1">
      <c r="A71" s="15">
        <v>69</v>
      </c>
      <c r="B71" s="25" t="s">
        <v>192</v>
      </c>
      <c r="C71" s="26" t="s">
        <v>124</v>
      </c>
      <c r="D71" s="16" t="s">
        <v>493</v>
      </c>
      <c r="E71" s="22" t="s">
        <v>125</v>
      </c>
      <c r="F71" s="19" t="s">
        <v>41</v>
      </c>
      <c r="G71" s="27" t="s">
        <v>518</v>
      </c>
      <c r="H71" s="19" t="s">
        <v>41</v>
      </c>
      <c r="I71" s="44" t="s">
        <v>484</v>
      </c>
      <c r="J71" s="25">
        <v>15</v>
      </c>
      <c r="K71" s="147">
        <v>14.4</v>
      </c>
      <c r="L71" s="25">
        <v>14.4</v>
      </c>
      <c r="M71" s="26">
        <v>1</v>
      </c>
      <c r="N71" s="37">
        <v>0.8</v>
      </c>
      <c r="O71" s="37">
        <f t="shared" si="1"/>
        <v>12</v>
      </c>
      <c r="P71" s="309" t="s">
        <v>774</v>
      </c>
      <c r="Q71" s="55">
        <v>0.12</v>
      </c>
      <c r="R71" s="54" t="s">
        <v>530</v>
      </c>
      <c r="S71" s="54">
        <v>24.99</v>
      </c>
      <c r="T71" s="54">
        <v>0.86</v>
      </c>
      <c r="U71" s="64" t="s">
        <v>193</v>
      </c>
    </row>
    <row r="72" spans="1:21" s="3" customFormat="1" ht="18" customHeight="1">
      <c r="A72" s="15">
        <v>70</v>
      </c>
      <c r="B72" s="25" t="s">
        <v>194</v>
      </c>
      <c r="C72" s="26" t="s">
        <v>124</v>
      </c>
      <c r="D72" s="16" t="s">
        <v>493</v>
      </c>
      <c r="E72" s="22" t="s">
        <v>125</v>
      </c>
      <c r="F72" s="19" t="s">
        <v>41</v>
      </c>
      <c r="G72" s="27" t="s">
        <v>518</v>
      </c>
      <c r="H72" s="19" t="s">
        <v>41</v>
      </c>
      <c r="I72" s="44" t="s">
        <v>484</v>
      </c>
      <c r="J72" s="25">
        <v>15</v>
      </c>
      <c r="K72" s="147">
        <v>14.4</v>
      </c>
      <c r="L72" s="25">
        <v>14.4</v>
      </c>
      <c r="M72" s="26">
        <v>1</v>
      </c>
      <c r="N72" s="37">
        <v>0.8</v>
      </c>
      <c r="O72" s="37">
        <f t="shared" si="1"/>
        <v>12</v>
      </c>
      <c r="P72" s="309" t="s">
        <v>774</v>
      </c>
      <c r="Q72" s="55">
        <v>0.12</v>
      </c>
      <c r="R72" s="54" t="s">
        <v>530</v>
      </c>
      <c r="S72" s="54">
        <v>24.99</v>
      </c>
      <c r="T72" s="54">
        <v>0.86</v>
      </c>
      <c r="U72" s="25" t="s">
        <v>193</v>
      </c>
    </row>
    <row r="73" spans="1:21" s="3" customFormat="1" ht="18" customHeight="1">
      <c r="A73" s="15">
        <v>71</v>
      </c>
      <c r="B73" s="340" t="s">
        <v>195</v>
      </c>
      <c r="C73" s="26" t="s">
        <v>124</v>
      </c>
      <c r="D73" s="16" t="s">
        <v>493</v>
      </c>
      <c r="E73" s="22" t="s">
        <v>125</v>
      </c>
      <c r="F73" s="19" t="s">
        <v>41</v>
      </c>
      <c r="G73" s="27" t="s">
        <v>518</v>
      </c>
      <c r="H73" s="19" t="s">
        <v>41</v>
      </c>
      <c r="I73" s="44" t="s">
        <v>484</v>
      </c>
      <c r="J73" s="25">
        <v>8</v>
      </c>
      <c r="K73" s="147">
        <v>5.82</v>
      </c>
      <c r="L73" s="25">
        <v>5.82</v>
      </c>
      <c r="M73" s="339">
        <v>1</v>
      </c>
      <c r="N73" s="37">
        <v>0.8</v>
      </c>
      <c r="O73" s="37">
        <f t="shared" si="1"/>
        <v>6.4</v>
      </c>
      <c r="P73" s="309" t="s">
        <v>774</v>
      </c>
      <c r="Q73" s="55">
        <v>0.12</v>
      </c>
      <c r="R73" s="54" t="s">
        <v>495</v>
      </c>
      <c r="S73" s="54">
        <v>14.98</v>
      </c>
      <c r="T73" s="54">
        <v>0.54</v>
      </c>
      <c r="U73" s="25" t="s">
        <v>127</v>
      </c>
    </row>
    <row r="74" spans="1:21" s="3" customFormat="1" ht="18" customHeight="1">
      <c r="A74" s="15">
        <v>72</v>
      </c>
      <c r="B74" s="340"/>
      <c r="C74" s="26" t="s">
        <v>196</v>
      </c>
      <c r="D74" s="16" t="s">
        <v>531</v>
      </c>
      <c r="E74" s="22" t="s">
        <v>197</v>
      </c>
      <c r="F74" s="19" t="s">
        <v>41</v>
      </c>
      <c r="G74" s="25" t="s">
        <v>198</v>
      </c>
      <c r="H74" s="19" t="s">
        <v>41</v>
      </c>
      <c r="I74" s="44" t="s">
        <v>532</v>
      </c>
      <c r="J74" s="25">
        <v>30</v>
      </c>
      <c r="K74" s="147">
        <v>1.5</v>
      </c>
      <c r="L74" s="25">
        <v>1.5</v>
      </c>
      <c r="M74" s="339"/>
      <c r="N74" s="37">
        <v>0.8</v>
      </c>
      <c r="O74" s="37">
        <f t="shared" si="1"/>
        <v>24</v>
      </c>
      <c r="P74" s="309" t="s">
        <v>778</v>
      </c>
      <c r="Q74" s="55">
        <v>3.6999999999999998E-2</v>
      </c>
      <c r="R74" s="62" t="s">
        <v>533</v>
      </c>
      <c r="S74" s="62"/>
      <c r="T74" s="62"/>
      <c r="U74" s="63" t="s">
        <v>200</v>
      </c>
    </row>
    <row r="75" spans="1:21" s="3" customFormat="1" ht="18" customHeight="1">
      <c r="A75" s="15">
        <v>73</v>
      </c>
      <c r="B75" s="340" t="s">
        <v>534</v>
      </c>
      <c r="C75" s="26" t="s">
        <v>202</v>
      </c>
      <c r="D75" s="16" t="s">
        <v>535</v>
      </c>
      <c r="E75" s="22" t="s">
        <v>203</v>
      </c>
      <c r="F75" s="19" t="s">
        <v>41</v>
      </c>
      <c r="G75" s="68" t="s">
        <v>536</v>
      </c>
      <c r="H75" s="19" t="s">
        <v>41</v>
      </c>
      <c r="I75" s="81" t="s">
        <v>472</v>
      </c>
      <c r="J75" s="26">
        <v>4</v>
      </c>
      <c r="K75" s="147">
        <v>6.42</v>
      </c>
      <c r="L75" s="25">
        <v>6.42</v>
      </c>
      <c r="M75" s="339">
        <v>1</v>
      </c>
      <c r="N75" s="37">
        <v>2.1</v>
      </c>
      <c r="O75" s="37">
        <f t="shared" si="1"/>
        <v>8.4</v>
      </c>
      <c r="P75" s="309" t="s">
        <v>779</v>
      </c>
      <c r="Q75" s="55">
        <v>4.7E-2</v>
      </c>
      <c r="R75" s="89" t="s">
        <v>537</v>
      </c>
      <c r="S75" s="89">
        <v>39.99</v>
      </c>
      <c r="T75" s="89">
        <v>1.23</v>
      </c>
      <c r="U75" s="90" t="s">
        <v>205</v>
      </c>
    </row>
    <row r="76" spans="1:21" s="3" customFormat="1" ht="18" customHeight="1">
      <c r="A76" s="15">
        <v>74</v>
      </c>
      <c r="B76" s="340"/>
      <c r="C76" s="26" t="s">
        <v>206</v>
      </c>
      <c r="D76" s="148" t="s">
        <v>538</v>
      </c>
      <c r="E76" s="149" t="s">
        <v>539</v>
      </c>
      <c r="F76" s="19" t="s">
        <v>41</v>
      </c>
      <c r="G76" s="68" t="s">
        <v>540</v>
      </c>
      <c r="H76" s="19" t="s">
        <v>41</v>
      </c>
      <c r="I76" s="81" t="s">
        <v>541</v>
      </c>
      <c r="J76" s="26">
        <v>10</v>
      </c>
      <c r="K76" s="147">
        <v>4.7</v>
      </c>
      <c r="L76" s="25">
        <v>4.7</v>
      </c>
      <c r="M76" s="339"/>
      <c r="N76" s="37">
        <v>2.1</v>
      </c>
      <c r="O76" s="37">
        <f t="shared" si="1"/>
        <v>21</v>
      </c>
      <c r="P76" s="309" t="s">
        <v>780</v>
      </c>
      <c r="Q76" s="55">
        <v>4.7E-2</v>
      </c>
      <c r="R76" s="91" t="s">
        <v>542</v>
      </c>
      <c r="S76" s="91">
        <v>19.989999999999998</v>
      </c>
      <c r="T76" s="91">
        <v>0.32</v>
      </c>
      <c r="U76" s="92" t="s">
        <v>210</v>
      </c>
    </row>
    <row r="77" spans="1:21" s="3" customFormat="1" ht="18" customHeight="1">
      <c r="A77" s="15">
        <v>75</v>
      </c>
      <c r="B77" s="340"/>
      <c r="C77" s="26" t="s">
        <v>206</v>
      </c>
      <c r="D77" s="148" t="s">
        <v>538</v>
      </c>
      <c r="E77" s="149" t="s">
        <v>539</v>
      </c>
      <c r="F77" s="19" t="s">
        <v>41</v>
      </c>
      <c r="G77" s="68" t="s">
        <v>543</v>
      </c>
      <c r="H77" s="19" t="s">
        <v>41</v>
      </c>
      <c r="I77" s="81" t="s">
        <v>544</v>
      </c>
      <c r="J77" s="26">
        <v>5</v>
      </c>
      <c r="K77" s="147">
        <v>3.1</v>
      </c>
      <c r="L77" s="25">
        <v>3.1</v>
      </c>
      <c r="M77" s="339"/>
      <c r="N77" s="37">
        <v>2.1</v>
      </c>
      <c r="O77" s="37">
        <f t="shared" si="1"/>
        <v>10.5</v>
      </c>
      <c r="P77" s="309" t="s">
        <v>780</v>
      </c>
      <c r="Q77" s="55">
        <v>4.7E-2</v>
      </c>
      <c r="R77" s="91" t="s">
        <v>542</v>
      </c>
      <c r="S77" s="91">
        <v>19.989999999999998</v>
      </c>
      <c r="T77" s="91">
        <v>0.32</v>
      </c>
      <c r="U77" s="90" t="s">
        <v>213</v>
      </c>
    </row>
    <row r="78" spans="1:21" s="3" customFormat="1" ht="18" customHeight="1">
      <c r="A78" s="15">
        <v>76</v>
      </c>
      <c r="B78" s="340"/>
      <c r="C78" s="26" t="s">
        <v>214</v>
      </c>
      <c r="D78" s="16" t="s">
        <v>545</v>
      </c>
      <c r="E78" s="22" t="s">
        <v>215</v>
      </c>
      <c r="F78" s="19" t="s">
        <v>41</v>
      </c>
      <c r="G78" s="68" t="s">
        <v>543</v>
      </c>
      <c r="H78" s="19" t="s">
        <v>41</v>
      </c>
      <c r="I78" s="81" t="s">
        <v>546</v>
      </c>
      <c r="J78" s="26">
        <v>3</v>
      </c>
      <c r="K78" s="147">
        <v>1.86</v>
      </c>
      <c r="L78" s="25">
        <v>1.86</v>
      </c>
      <c r="M78" s="339"/>
      <c r="N78" s="37">
        <v>2.1</v>
      </c>
      <c r="O78" s="37">
        <f t="shared" si="1"/>
        <v>6.3000000000000007</v>
      </c>
      <c r="P78" s="309" t="s">
        <v>781</v>
      </c>
      <c r="Q78" s="55">
        <v>4.7E-2</v>
      </c>
      <c r="R78" s="91" t="s">
        <v>547</v>
      </c>
      <c r="S78" s="91">
        <v>12.79</v>
      </c>
      <c r="T78" s="91">
        <v>0.12</v>
      </c>
      <c r="U78" s="92" t="s">
        <v>217</v>
      </c>
    </row>
    <row r="79" spans="1:21" s="3" customFormat="1" ht="18" customHeight="1">
      <c r="A79" s="15">
        <v>77</v>
      </c>
      <c r="B79" s="340" t="s">
        <v>548</v>
      </c>
      <c r="C79" s="69" t="s">
        <v>202</v>
      </c>
      <c r="D79" s="16" t="s">
        <v>535</v>
      </c>
      <c r="E79" s="22" t="s">
        <v>203</v>
      </c>
      <c r="F79" s="19" t="s">
        <v>41</v>
      </c>
      <c r="G79" s="70" t="s">
        <v>536</v>
      </c>
      <c r="H79" s="19" t="s">
        <v>41</v>
      </c>
      <c r="I79" s="82" t="s">
        <v>472</v>
      </c>
      <c r="J79" s="26">
        <v>4</v>
      </c>
      <c r="K79" s="147">
        <v>6.42</v>
      </c>
      <c r="L79" s="25">
        <v>6.42</v>
      </c>
      <c r="M79" s="339">
        <v>1</v>
      </c>
      <c r="N79" s="37">
        <v>2.1</v>
      </c>
      <c r="O79" s="37">
        <f t="shared" si="1"/>
        <v>8.4</v>
      </c>
      <c r="P79" s="309" t="s">
        <v>779</v>
      </c>
      <c r="Q79" s="55">
        <v>4.7E-2</v>
      </c>
      <c r="R79" s="89" t="s">
        <v>537</v>
      </c>
      <c r="S79" s="89">
        <v>39.99</v>
      </c>
      <c r="T79" s="89">
        <v>1.23</v>
      </c>
      <c r="U79" s="92" t="s">
        <v>205</v>
      </c>
    </row>
    <row r="80" spans="1:21" s="3" customFormat="1" ht="18" customHeight="1">
      <c r="A80" s="15">
        <v>78</v>
      </c>
      <c r="B80" s="340"/>
      <c r="C80" s="69" t="s">
        <v>221</v>
      </c>
      <c r="D80" s="16" t="s">
        <v>549</v>
      </c>
      <c r="E80" s="22" t="s">
        <v>222</v>
      </c>
      <c r="F80" s="19" t="s">
        <v>41</v>
      </c>
      <c r="G80" s="70" t="s">
        <v>536</v>
      </c>
      <c r="H80" s="19" t="s">
        <v>41</v>
      </c>
      <c r="I80" s="82" t="s">
        <v>472</v>
      </c>
      <c r="J80" s="26">
        <v>5</v>
      </c>
      <c r="K80" s="147">
        <v>3.65</v>
      </c>
      <c r="L80" s="25">
        <v>3.65</v>
      </c>
      <c r="M80" s="339"/>
      <c r="N80" s="37">
        <v>2.1</v>
      </c>
      <c r="O80" s="37">
        <f t="shared" si="1"/>
        <v>10.5</v>
      </c>
      <c r="P80" s="309" t="s">
        <v>550</v>
      </c>
      <c r="Q80" s="55">
        <v>1.7000000000000001E-2</v>
      </c>
      <c r="R80" s="89" t="s">
        <v>551</v>
      </c>
      <c r="S80" s="89">
        <v>14.99</v>
      </c>
      <c r="T80" s="89">
        <v>0.43</v>
      </c>
      <c r="U80" s="92" t="s">
        <v>223</v>
      </c>
    </row>
    <row r="81" spans="1:21" s="3" customFormat="1" ht="18" customHeight="1">
      <c r="A81" s="15">
        <v>79</v>
      </c>
      <c r="B81" s="340"/>
      <c r="C81" s="69" t="s">
        <v>224</v>
      </c>
      <c r="D81" s="16" t="s">
        <v>552</v>
      </c>
      <c r="E81" s="22" t="s">
        <v>225</v>
      </c>
      <c r="F81" s="19" t="s">
        <v>41</v>
      </c>
      <c r="G81" s="70" t="s">
        <v>553</v>
      </c>
      <c r="H81" s="19" t="s">
        <v>41</v>
      </c>
      <c r="I81" s="82" t="s">
        <v>554</v>
      </c>
      <c r="J81" s="26">
        <v>5</v>
      </c>
      <c r="K81" s="147">
        <v>3.1</v>
      </c>
      <c r="L81" s="25">
        <v>3.1</v>
      </c>
      <c r="M81" s="339"/>
      <c r="N81" s="37">
        <v>2.1</v>
      </c>
      <c r="O81" s="37">
        <f t="shared" si="1"/>
        <v>10.5</v>
      </c>
      <c r="P81" s="309" t="s">
        <v>559</v>
      </c>
      <c r="Q81" s="55">
        <v>3.6999999999999998E-2</v>
      </c>
      <c r="R81" s="89" t="s">
        <v>555</v>
      </c>
      <c r="S81" s="89">
        <v>23.99</v>
      </c>
      <c r="T81" s="89">
        <v>0.32</v>
      </c>
      <c r="U81" s="92" t="s">
        <v>228</v>
      </c>
    </row>
    <row r="82" spans="1:21" s="3" customFormat="1" ht="18" customHeight="1">
      <c r="A82" s="15">
        <v>80</v>
      </c>
      <c r="B82" s="340"/>
      <c r="C82" s="69" t="s">
        <v>229</v>
      </c>
      <c r="D82" s="16" t="s">
        <v>556</v>
      </c>
      <c r="E82" s="22" t="s">
        <v>230</v>
      </c>
      <c r="F82" s="19" t="s">
        <v>41</v>
      </c>
      <c r="G82" s="70" t="s">
        <v>557</v>
      </c>
      <c r="H82" s="19" t="s">
        <v>41</v>
      </c>
      <c r="I82" s="82" t="s">
        <v>558</v>
      </c>
      <c r="J82" s="26">
        <v>5</v>
      </c>
      <c r="K82" s="147">
        <v>1.75</v>
      </c>
      <c r="L82" s="25">
        <v>1.75</v>
      </c>
      <c r="M82" s="339"/>
      <c r="N82" s="37">
        <v>2.1</v>
      </c>
      <c r="O82" s="37">
        <f t="shared" si="1"/>
        <v>10.5</v>
      </c>
      <c r="P82" s="309" t="s">
        <v>559</v>
      </c>
      <c r="Q82" s="55">
        <v>3.5000000000000003E-2</v>
      </c>
      <c r="R82" s="89" t="s">
        <v>560</v>
      </c>
      <c r="S82" s="89"/>
      <c r="T82" s="89">
        <v>0.05</v>
      </c>
      <c r="U82" s="92" t="s">
        <v>233</v>
      </c>
    </row>
    <row r="83" spans="1:21" s="3" customFormat="1" ht="18" customHeight="1">
      <c r="A83" s="15">
        <v>81</v>
      </c>
      <c r="B83" s="340"/>
      <c r="C83" s="69" t="s">
        <v>214</v>
      </c>
      <c r="D83" s="16" t="s">
        <v>545</v>
      </c>
      <c r="E83" s="22" t="s">
        <v>215</v>
      </c>
      <c r="F83" s="19" t="s">
        <v>41</v>
      </c>
      <c r="G83" s="70" t="s">
        <v>543</v>
      </c>
      <c r="H83" s="19" t="s">
        <v>41</v>
      </c>
      <c r="I83" s="82" t="s">
        <v>546</v>
      </c>
      <c r="J83" s="26">
        <v>2</v>
      </c>
      <c r="K83" s="147">
        <v>1.74</v>
      </c>
      <c r="L83" s="25">
        <v>1.74</v>
      </c>
      <c r="M83" s="339"/>
      <c r="N83" s="37">
        <v>2.1</v>
      </c>
      <c r="O83" s="37">
        <f t="shared" si="1"/>
        <v>4.2</v>
      </c>
      <c r="P83" s="309" t="s">
        <v>781</v>
      </c>
      <c r="Q83" s="55">
        <v>4.7E-2</v>
      </c>
      <c r="R83" s="91" t="s">
        <v>547</v>
      </c>
      <c r="S83" s="91">
        <v>12.79</v>
      </c>
      <c r="T83" s="91">
        <v>0.12</v>
      </c>
      <c r="U83" s="90" t="s">
        <v>217</v>
      </c>
    </row>
    <row r="84" spans="1:21" s="3" customFormat="1" ht="18" customHeight="1">
      <c r="A84" s="15">
        <v>82</v>
      </c>
      <c r="B84" s="340"/>
      <c r="C84" s="69" t="s">
        <v>236</v>
      </c>
      <c r="D84" s="16" t="s">
        <v>561</v>
      </c>
      <c r="E84" s="22" t="s">
        <v>562</v>
      </c>
      <c r="F84" s="19" t="s">
        <v>41</v>
      </c>
      <c r="G84" s="70" t="s">
        <v>543</v>
      </c>
      <c r="H84" s="19" t="s">
        <v>41</v>
      </c>
      <c r="I84" s="82" t="s">
        <v>472</v>
      </c>
      <c r="J84" s="26">
        <v>5</v>
      </c>
      <c r="K84" s="147">
        <v>6.5</v>
      </c>
      <c r="L84" s="25">
        <v>6.5</v>
      </c>
      <c r="M84" s="339"/>
      <c r="N84" s="37">
        <v>2.1</v>
      </c>
      <c r="O84" s="37">
        <f t="shared" si="1"/>
        <v>10.5</v>
      </c>
      <c r="P84" s="309" t="s">
        <v>780</v>
      </c>
      <c r="Q84" s="55">
        <v>4.7E-2</v>
      </c>
      <c r="R84" s="93" t="s">
        <v>563</v>
      </c>
      <c r="S84" s="93">
        <v>34.39</v>
      </c>
      <c r="T84" s="89">
        <v>1</v>
      </c>
      <c r="U84" s="92" t="s">
        <v>238</v>
      </c>
    </row>
    <row r="85" spans="1:21" s="3" customFormat="1" ht="18" customHeight="1">
      <c r="A85" s="15">
        <v>83</v>
      </c>
      <c r="B85" s="340" t="s">
        <v>564</v>
      </c>
      <c r="C85" s="26" t="s">
        <v>240</v>
      </c>
      <c r="D85" s="16" t="s">
        <v>565</v>
      </c>
      <c r="E85" s="22" t="s">
        <v>241</v>
      </c>
      <c r="F85" s="19" t="s">
        <v>41</v>
      </c>
      <c r="G85" s="68" t="s">
        <v>566</v>
      </c>
      <c r="H85" s="19" t="s">
        <v>41</v>
      </c>
      <c r="I85" s="81" t="s">
        <v>472</v>
      </c>
      <c r="J85" s="26">
        <v>12</v>
      </c>
      <c r="K85" s="147">
        <v>10.5</v>
      </c>
      <c r="L85" s="25">
        <v>10.5</v>
      </c>
      <c r="M85" s="340">
        <v>1</v>
      </c>
      <c r="N85" s="37">
        <v>2.2000000000000002</v>
      </c>
      <c r="O85" s="37">
        <f t="shared" si="1"/>
        <v>26.400000000000002</v>
      </c>
      <c r="P85" s="309" t="s">
        <v>782</v>
      </c>
      <c r="Q85" s="55">
        <v>3.6999999999999998E-2</v>
      </c>
      <c r="R85" s="94" t="s">
        <v>567</v>
      </c>
      <c r="S85" s="94">
        <v>27.99</v>
      </c>
      <c r="T85" s="95">
        <v>0.75</v>
      </c>
      <c r="U85" s="92" t="s">
        <v>243</v>
      </c>
    </row>
    <row r="86" spans="1:21" s="3" customFormat="1" ht="18" customHeight="1">
      <c r="A86" s="15">
        <v>84</v>
      </c>
      <c r="B86" s="340"/>
      <c r="C86" s="26" t="s">
        <v>244</v>
      </c>
      <c r="D86" s="16" t="s">
        <v>568</v>
      </c>
      <c r="E86" s="22" t="s">
        <v>245</v>
      </c>
      <c r="F86" s="19" t="s">
        <v>41</v>
      </c>
      <c r="G86" s="68" t="s">
        <v>499</v>
      </c>
      <c r="H86" s="19" t="s">
        <v>41</v>
      </c>
      <c r="I86" s="81" t="s">
        <v>472</v>
      </c>
      <c r="J86" s="26">
        <v>5</v>
      </c>
      <c r="K86" s="147">
        <v>2</v>
      </c>
      <c r="L86" s="25">
        <v>2</v>
      </c>
      <c r="M86" s="340"/>
      <c r="N86" s="37">
        <v>2.2000000000000002</v>
      </c>
      <c r="O86" s="37">
        <f t="shared" si="1"/>
        <v>11</v>
      </c>
      <c r="P86" s="309" t="s">
        <v>783</v>
      </c>
      <c r="Q86" s="55">
        <v>0.06</v>
      </c>
      <c r="R86" s="94" t="s">
        <v>569</v>
      </c>
      <c r="S86" s="94">
        <v>19.34</v>
      </c>
      <c r="T86" s="95">
        <v>0.1</v>
      </c>
      <c r="U86" s="92" t="s">
        <v>246</v>
      </c>
    </row>
    <row r="87" spans="1:21" s="3" customFormat="1" ht="18" customHeight="1">
      <c r="A87" s="15">
        <v>85</v>
      </c>
      <c r="B87" s="340"/>
      <c r="C87" s="26" t="s">
        <v>247</v>
      </c>
      <c r="D87" s="71" t="s">
        <v>570</v>
      </c>
      <c r="E87" s="72" t="s">
        <v>571</v>
      </c>
      <c r="F87" s="19" t="s">
        <v>41</v>
      </c>
      <c r="G87" s="68" t="s">
        <v>572</v>
      </c>
      <c r="H87" s="19" t="s">
        <v>41</v>
      </c>
      <c r="I87" s="81" t="s">
        <v>573</v>
      </c>
      <c r="J87" s="26">
        <v>22</v>
      </c>
      <c r="K87" s="147">
        <v>5.9</v>
      </c>
      <c r="L87" s="25">
        <v>5.9</v>
      </c>
      <c r="M87" s="340"/>
      <c r="N87" s="37">
        <v>2.2000000000000002</v>
      </c>
      <c r="O87" s="37">
        <f t="shared" si="1"/>
        <v>48.400000000000006</v>
      </c>
      <c r="P87" s="309" t="s">
        <v>784</v>
      </c>
      <c r="Q87" s="55">
        <v>4.4999999999999998E-2</v>
      </c>
      <c r="R87" s="94" t="s">
        <v>574</v>
      </c>
      <c r="S87" s="94">
        <v>8.99</v>
      </c>
      <c r="T87" s="95">
        <v>0.2</v>
      </c>
      <c r="U87" s="92" t="s">
        <v>251</v>
      </c>
    </row>
    <row r="88" spans="1:21" s="3" customFormat="1" ht="18" customHeight="1">
      <c r="A88" s="15">
        <v>86</v>
      </c>
      <c r="B88" s="340"/>
      <c r="C88" s="26" t="s">
        <v>252</v>
      </c>
      <c r="D88" s="16" t="s">
        <v>538</v>
      </c>
      <c r="E88" s="22" t="s">
        <v>253</v>
      </c>
      <c r="F88" s="19" t="s">
        <v>41</v>
      </c>
      <c r="G88" s="68" t="s">
        <v>543</v>
      </c>
      <c r="H88" s="19" t="s">
        <v>41</v>
      </c>
      <c r="I88" s="81" t="s">
        <v>575</v>
      </c>
      <c r="J88" s="26">
        <v>10</v>
      </c>
      <c r="K88" s="147">
        <v>8.1</v>
      </c>
      <c r="L88" s="25">
        <v>8.1</v>
      </c>
      <c r="M88" s="340"/>
      <c r="N88" s="37">
        <v>2.2000000000000002</v>
      </c>
      <c r="O88" s="37">
        <f t="shared" si="1"/>
        <v>22</v>
      </c>
      <c r="P88" s="309" t="s">
        <v>780</v>
      </c>
      <c r="Q88" s="55">
        <v>4.7E-2</v>
      </c>
      <c r="R88" s="94" t="s">
        <v>576</v>
      </c>
      <c r="S88" s="94">
        <v>28.45</v>
      </c>
      <c r="T88" s="95">
        <v>0.66</v>
      </c>
      <c r="U88" s="92" t="s">
        <v>255</v>
      </c>
    </row>
    <row r="89" spans="1:21" s="3" customFormat="1" ht="18" customHeight="1">
      <c r="A89" s="15">
        <v>87</v>
      </c>
      <c r="B89" s="340"/>
      <c r="C89" s="69" t="s">
        <v>256</v>
      </c>
      <c r="D89" s="71" t="s">
        <v>570</v>
      </c>
      <c r="E89" s="72" t="s">
        <v>571</v>
      </c>
      <c r="F89" s="19" t="s">
        <v>41</v>
      </c>
      <c r="G89" s="69" t="s">
        <v>258</v>
      </c>
      <c r="H89" s="19" t="s">
        <v>41</v>
      </c>
      <c r="I89" s="83" t="s">
        <v>577</v>
      </c>
      <c r="J89" s="26">
        <v>3</v>
      </c>
      <c r="K89" s="147">
        <v>2.1</v>
      </c>
      <c r="L89" s="25">
        <v>2.1</v>
      </c>
      <c r="M89" s="340"/>
      <c r="N89" s="37">
        <v>2.2000000000000002</v>
      </c>
      <c r="O89" s="37">
        <f t="shared" si="1"/>
        <v>6.6000000000000005</v>
      </c>
      <c r="P89" s="309" t="s">
        <v>784</v>
      </c>
      <c r="Q89" s="55">
        <v>4.4999999999999998E-2</v>
      </c>
      <c r="R89" s="94" t="s">
        <v>578</v>
      </c>
      <c r="S89" s="94">
        <v>8.99</v>
      </c>
      <c r="T89" s="95">
        <v>0.2</v>
      </c>
      <c r="U89" s="92" t="s">
        <v>260</v>
      </c>
    </row>
    <row r="90" spans="1:21" s="3" customFormat="1" ht="18" customHeight="1">
      <c r="A90" s="15">
        <v>88</v>
      </c>
      <c r="B90" s="340" t="s">
        <v>579</v>
      </c>
      <c r="C90" s="26" t="s">
        <v>262</v>
      </c>
      <c r="D90" s="16" t="s">
        <v>580</v>
      </c>
      <c r="E90" s="22" t="s">
        <v>263</v>
      </c>
      <c r="F90" s="19" t="s">
        <v>41</v>
      </c>
      <c r="G90" s="68" t="s">
        <v>499</v>
      </c>
      <c r="H90" s="19" t="s">
        <v>41</v>
      </c>
      <c r="I90" s="84" t="s">
        <v>581</v>
      </c>
      <c r="J90" s="26">
        <v>5</v>
      </c>
      <c r="K90" s="147">
        <v>2.85</v>
      </c>
      <c r="L90" s="25">
        <v>2.85</v>
      </c>
      <c r="M90" s="339">
        <v>1</v>
      </c>
      <c r="N90" s="37">
        <v>0.7</v>
      </c>
      <c r="O90" s="37">
        <f t="shared" si="1"/>
        <v>3.5</v>
      </c>
      <c r="P90" s="309" t="s">
        <v>785</v>
      </c>
      <c r="Q90" s="55">
        <v>2.1999999999999999E-2</v>
      </c>
      <c r="R90" s="96" t="s">
        <v>582</v>
      </c>
      <c r="S90" s="96">
        <v>6.99</v>
      </c>
      <c r="T90" s="97">
        <v>0.27</v>
      </c>
      <c r="U90" s="98" t="s">
        <v>265</v>
      </c>
    </row>
    <row r="91" spans="1:21" s="3" customFormat="1" ht="18" customHeight="1">
      <c r="A91" s="15">
        <v>89</v>
      </c>
      <c r="B91" s="340"/>
      <c r="C91" s="26" t="s">
        <v>266</v>
      </c>
      <c r="D91" s="16" t="s">
        <v>583</v>
      </c>
      <c r="E91" s="22" t="s">
        <v>267</v>
      </c>
      <c r="F91" s="19" t="s">
        <v>41</v>
      </c>
      <c r="G91" s="68" t="s">
        <v>479</v>
      </c>
      <c r="H91" s="19" t="s">
        <v>41</v>
      </c>
      <c r="I91" s="84" t="s">
        <v>472</v>
      </c>
      <c r="J91" s="26">
        <v>10</v>
      </c>
      <c r="K91" s="147">
        <v>6.1</v>
      </c>
      <c r="L91" s="25">
        <v>6.1</v>
      </c>
      <c r="M91" s="339"/>
      <c r="N91" s="37">
        <v>0.7</v>
      </c>
      <c r="O91" s="37">
        <f t="shared" si="1"/>
        <v>7</v>
      </c>
      <c r="P91" s="309" t="s">
        <v>786</v>
      </c>
      <c r="Q91" s="55">
        <v>3.6999999999999998E-2</v>
      </c>
      <c r="R91" s="96" t="s">
        <v>584</v>
      </c>
      <c r="S91" s="96">
        <v>13.99</v>
      </c>
      <c r="T91" s="97">
        <v>0.46</v>
      </c>
      <c r="U91" s="98" t="s">
        <v>268</v>
      </c>
    </row>
    <row r="92" spans="1:21" s="3" customFormat="1" ht="18" customHeight="1">
      <c r="A92" s="15">
        <v>90</v>
      </c>
      <c r="B92" s="340" t="s">
        <v>585</v>
      </c>
      <c r="C92" s="26" t="s">
        <v>270</v>
      </c>
      <c r="D92" s="16" t="s">
        <v>586</v>
      </c>
      <c r="E92" s="22" t="s">
        <v>587</v>
      </c>
      <c r="F92" s="19" t="s">
        <v>41</v>
      </c>
      <c r="G92" s="68" t="s">
        <v>475</v>
      </c>
      <c r="H92" s="19" t="s">
        <v>41</v>
      </c>
      <c r="I92" s="81" t="s">
        <v>476</v>
      </c>
      <c r="J92" s="26">
        <v>32</v>
      </c>
      <c r="K92" s="147">
        <v>14.94</v>
      </c>
      <c r="L92" s="25">
        <v>14.94</v>
      </c>
      <c r="M92" s="339">
        <v>1</v>
      </c>
      <c r="N92" s="37">
        <v>1.5</v>
      </c>
      <c r="O92" s="37">
        <f t="shared" si="1"/>
        <v>48</v>
      </c>
      <c r="P92" s="309" t="s">
        <v>787</v>
      </c>
      <c r="Q92" s="55">
        <v>6.5000000000000002E-2</v>
      </c>
      <c r="R92" s="94" t="s">
        <v>588</v>
      </c>
      <c r="S92" s="94"/>
      <c r="T92" s="94">
        <v>0.42</v>
      </c>
      <c r="U92" s="99" t="s">
        <v>272</v>
      </c>
    </row>
    <row r="93" spans="1:21" s="3" customFormat="1" ht="18" customHeight="1">
      <c r="A93" s="15">
        <v>91</v>
      </c>
      <c r="B93" s="340"/>
      <c r="C93" s="26" t="s">
        <v>273</v>
      </c>
      <c r="D93" s="16" t="s">
        <v>589</v>
      </c>
      <c r="E93" s="22" t="s">
        <v>274</v>
      </c>
      <c r="F93" s="19" t="s">
        <v>41</v>
      </c>
      <c r="G93" s="68" t="s">
        <v>487</v>
      </c>
      <c r="H93" s="19" t="s">
        <v>41</v>
      </c>
      <c r="I93" s="81" t="s">
        <v>484</v>
      </c>
      <c r="J93" s="26">
        <v>15</v>
      </c>
      <c r="K93" s="147">
        <v>3.9</v>
      </c>
      <c r="L93" s="25">
        <v>3.9</v>
      </c>
      <c r="M93" s="339"/>
      <c r="N93" s="37">
        <v>1.5</v>
      </c>
      <c r="O93" s="37">
        <f t="shared" si="1"/>
        <v>22.5</v>
      </c>
      <c r="P93" s="309" t="s">
        <v>788</v>
      </c>
      <c r="Q93" s="55">
        <v>6.3E-2</v>
      </c>
      <c r="R93" s="94" t="s">
        <v>590</v>
      </c>
      <c r="S93" s="94"/>
      <c r="T93" s="94">
        <v>0.16</v>
      </c>
      <c r="U93" s="99" t="s">
        <v>275</v>
      </c>
    </row>
    <row r="94" spans="1:21" s="3" customFormat="1" ht="18" customHeight="1">
      <c r="A94" s="15">
        <v>92</v>
      </c>
      <c r="B94" s="340" t="s">
        <v>591</v>
      </c>
      <c r="C94" s="26" t="s">
        <v>270</v>
      </c>
      <c r="D94" s="16" t="s">
        <v>592</v>
      </c>
      <c r="E94" s="22" t="s">
        <v>587</v>
      </c>
      <c r="F94" s="19" t="s">
        <v>41</v>
      </c>
      <c r="G94" s="68" t="s">
        <v>475</v>
      </c>
      <c r="H94" s="19" t="s">
        <v>41</v>
      </c>
      <c r="I94" s="81" t="s">
        <v>476</v>
      </c>
      <c r="J94" s="26">
        <v>3</v>
      </c>
      <c r="K94" s="147">
        <v>2.76</v>
      </c>
      <c r="L94" s="25">
        <v>2.76</v>
      </c>
      <c r="M94" s="339">
        <v>1</v>
      </c>
      <c r="N94" s="37">
        <v>1.5</v>
      </c>
      <c r="O94" s="37">
        <f t="shared" si="1"/>
        <v>4.5</v>
      </c>
      <c r="P94" s="309" t="s">
        <v>787</v>
      </c>
      <c r="Q94" s="55">
        <v>6.5000000000000002E-2</v>
      </c>
      <c r="R94" s="94" t="s">
        <v>588</v>
      </c>
      <c r="S94" s="94"/>
      <c r="T94" s="94">
        <v>0.42</v>
      </c>
      <c r="U94" s="26" t="s">
        <v>272</v>
      </c>
    </row>
    <row r="95" spans="1:21" s="3" customFormat="1" ht="18" customHeight="1">
      <c r="A95" s="15">
        <v>93</v>
      </c>
      <c r="B95" s="340"/>
      <c r="C95" s="26" t="s">
        <v>277</v>
      </c>
      <c r="D95" s="16" t="s">
        <v>593</v>
      </c>
      <c r="E95" s="15" t="s">
        <v>594</v>
      </c>
      <c r="F95" s="19" t="s">
        <v>41</v>
      </c>
      <c r="G95" s="68" t="s">
        <v>595</v>
      </c>
      <c r="H95" s="19" t="s">
        <v>41</v>
      </c>
      <c r="I95" s="81" t="s">
        <v>596</v>
      </c>
      <c r="J95" s="26">
        <v>33</v>
      </c>
      <c r="K95" s="147">
        <v>17.010000000000002</v>
      </c>
      <c r="L95" s="25">
        <v>17.010000000000002</v>
      </c>
      <c r="M95" s="339"/>
      <c r="N95" s="37">
        <v>1.5</v>
      </c>
      <c r="O95" s="37">
        <f t="shared" si="1"/>
        <v>49.5</v>
      </c>
      <c r="P95" s="309" t="s">
        <v>782</v>
      </c>
      <c r="Q95" s="55">
        <v>3.6999999999999998E-2</v>
      </c>
      <c r="R95" s="94" t="s">
        <v>597</v>
      </c>
      <c r="S95" s="94">
        <v>16.989999999999998</v>
      </c>
      <c r="T95" s="94">
        <v>0.47</v>
      </c>
      <c r="U95" s="99" t="s">
        <v>281</v>
      </c>
    </row>
    <row r="96" spans="1:21" s="3" customFormat="1" ht="18" customHeight="1">
      <c r="A96" s="15">
        <v>94</v>
      </c>
      <c r="B96" s="340"/>
      <c r="C96" s="69" t="s">
        <v>282</v>
      </c>
      <c r="D96" s="16" t="s">
        <v>598</v>
      </c>
      <c r="E96" s="22" t="s">
        <v>283</v>
      </c>
      <c r="F96" s="19" t="s">
        <v>41</v>
      </c>
      <c r="G96" s="70" t="s">
        <v>599</v>
      </c>
      <c r="H96" s="19" t="s">
        <v>41</v>
      </c>
      <c r="I96" s="82" t="s">
        <v>600</v>
      </c>
      <c r="J96" s="26">
        <v>15</v>
      </c>
      <c r="K96" s="147">
        <v>2.5499999999999998</v>
      </c>
      <c r="L96" s="25">
        <v>2.5499999999999998</v>
      </c>
      <c r="M96" s="339"/>
      <c r="N96" s="37">
        <v>1.5</v>
      </c>
      <c r="O96" s="37">
        <f t="shared" si="1"/>
        <v>22.5</v>
      </c>
      <c r="P96" s="309" t="s">
        <v>777</v>
      </c>
      <c r="Q96" s="55">
        <v>6.3E-2</v>
      </c>
      <c r="R96" s="40" t="s">
        <v>601</v>
      </c>
      <c r="S96" s="40">
        <v>11.99</v>
      </c>
      <c r="T96" s="40">
        <v>7.0000000000000007E-2</v>
      </c>
      <c r="U96" s="99" t="s">
        <v>286</v>
      </c>
    </row>
    <row r="97" spans="1:21" s="3" customFormat="1" ht="18" customHeight="1">
      <c r="A97" s="15">
        <v>95</v>
      </c>
      <c r="B97" s="340"/>
      <c r="C97" s="69" t="s">
        <v>287</v>
      </c>
      <c r="D97" s="16" t="s">
        <v>602</v>
      </c>
      <c r="E97" s="22" t="s">
        <v>288</v>
      </c>
      <c r="F97" s="19" t="s">
        <v>41</v>
      </c>
      <c r="G97" s="70" t="s">
        <v>475</v>
      </c>
      <c r="H97" s="19" t="s">
        <v>41</v>
      </c>
      <c r="I97" s="82" t="s">
        <v>603</v>
      </c>
      <c r="J97" s="26">
        <v>20</v>
      </c>
      <c r="K97" s="147">
        <v>5.0999999999999996</v>
      </c>
      <c r="L97" s="25">
        <v>5.0999999999999996</v>
      </c>
      <c r="M97" s="339"/>
      <c r="N97" s="37">
        <v>1.5</v>
      </c>
      <c r="O97" s="37">
        <f t="shared" si="1"/>
        <v>30</v>
      </c>
      <c r="P97" s="309" t="s">
        <v>789</v>
      </c>
      <c r="Q97" s="55">
        <v>3.6999999999999998E-2</v>
      </c>
      <c r="R97" s="40" t="s">
        <v>604</v>
      </c>
      <c r="S97" s="40">
        <v>4.54</v>
      </c>
      <c r="T97" s="40">
        <v>0.18</v>
      </c>
      <c r="U97" s="99" t="s">
        <v>291</v>
      </c>
    </row>
    <row r="98" spans="1:21" s="3" customFormat="1" ht="18" customHeight="1">
      <c r="A98" s="15">
        <v>96</v>
      </c>
      <c r="B98" s="340"/>
      <c r="C98" s="69" t="s">
        <v>292</v>
      </c>
      <c r="D98" s="16" t="s">
        <v>605</v>
      </c>
      <c r="E98" s="22" t="s">
        <v>293</v>
      </c>
      <c r="F98" s="19" t="s">
        <v>41</v>
      </c>
      <c r="G98" s="70" t="s">
        <v>606</v>
      </c>
      <c r="H98" s="19" t="s">
        <v>41</v>
      </c>
      <c r="I98" s="82" t="s">
        <v>607</v>
      </c>
      <c r="J98" s="26">
        <v>20</v>
      </c>
      <c r="K98" s="147">
        <v>21.3</v>
      </c>
      <c r="L98" s="25">
        <v>21.3</v>
      </c>
      <c r="M98" s="339"/>
      <c r="N98" s="37">
        <v>1.5</v>
      </c>
      <c r="O98" s="37">
        <f t="shared" si="1"/>
        <v>30</v>
      </c>
      <c r="P98" s="309" t="s">
        <v>771</v>
      </c>
      <c r="Q98" s="55">
        <v>3.2000000000000001E-2</v>
      </c>
      <c r="R98" s="40" t="s">
        <v>608</v>
      </c>
      <c r="S98" s="40">
        <v>0.26</v>
      </c>
      <c r="T98" s="40">
        <v>0.99</v>
      </c>
      <c r="U98" s="99" t="s">
        <v>296</v>
      </c>
    </row>
    <row r="99" spans="1:21" s="3" customFormat="1" ht="18" customHeight="1">
      <c r="A99" s="15">
        <v>97</v>
      </c>
      <c r="B99" s="340"/>
      <c r="C99" s="69" t="s">
        <v>297</v>
      </c>
      <c r="D99" s="16" t="s">
        <v>609</v>
      </c>
      <c r="E99" s="22" t="s">
        <v>298</v>
      </c>
      <c r="F99" s="19" t="s">
        <v>41</v>
      </c>
      <c r="G99" s="70" t="s">
        <v>536</v>
      </c>
      <c r="H99" s="19" t="s">
        <v>41</v>
      </c>
      <c r="I99" s="82" t="s">
        <v>472</v>
      </c>
      <c r="J99" s="26">
        <v>20</v>
      </c>
      <c r="K99" s="147">
        <v>1.8</v>
      </c>
      <c r="L99" s="25">
        <v>1.8</v>
      </c>
      <c r="M99" s="339"/>
      <c r="N99" s="37">
        <v>1.5</v>
      </c>
      <c r="O99" s="37">
        <f t="shared" si="1"/>
        <v>30</v>
      </c>
      <c r="P99" s="309" t="s">
        <v>787</v>
      </c>
      <c r="Q99" s="55">
        <v>6.5000000000000002E-2</v>
      </c>
      <c r="R99" s="40" t="s">
        <v>610</v>
      </c>
      <c r="S99" s="40">
        <v>1.92</v>
      </c>
      <c r="T99" s="40">
        <v>1.4999999999999999E-2</v>
      </c>
      <c r="U99" s="99" t="s">
        <v>299</v>
      </c>
    </row>
    <row r="100" spans="1:21" s="3" customFormat="1" ht="18" customHeight="1">
      <c r="A100" s="15">
        <v>98</v>
      </c>
      <c r="B100" s="340"/>
      <c r="C100" s="69" t="s">
        <v>300</v>
      </c>
      <c r="D100" s="16" t="s">
        <v>611</v>
      </c>
      <c r="E100" s="22" t="s">
        <v>301</v>
      </c>
      <c r="F100" s="19" t="s">
        <v>41</v>
      </c>
      <c r="G100" s="70" t="s">
        <v>515</v>
      </c>
      <c r="H100" s="19" t="s">
        <v>41</v>
      </c>
      <c r="I100" s="82" t="s">
        <v>484</v>
      </c>
      <c r="J100" s="26">
        <v>22</v>
      </c>
      <c r="K100" s="147">
        <v>5.9</v>
      </c>
      <c r="L100" s="25">
        <v>5.9</v>
      </c>
      <c r="M100" s="339"/>
      <c r="N100" s="37">
        <v>1.5</v>
      </c>
      <c r="O100" s="37">
        <f t="shared" si="1"/>
        <v>33</v>
      </c>
      <c r="P100" s="309" t="s">
        <v>790</v>
      </c>
      <c r="Q100" s="55">
        <v>0.03</v>
      </c>
      <c r="R100" s="40" t="s">
        <v>612</v>
      </c>
      <c r="S100" s="40">
        <v>24.29</v>
      </c>
      <c r="T100" s="40">
        <v>0.2</v>
      </c>
      <c r="U100" s="99" t="s">
        <v>304</v>
      </c>
    </row>
    <row r="101" spans="1:21" s="3" customFormat="1" ht="18" customHeight="1">
      <c r="A101" s="15">
        <v>99</v>
      </c>
      <c r="B101" s="340" t="s">
        <v>613</v>
      </c>
      <c r="C101" s="69" t="s">
        <v>306</v>
      </c>
      <c r="D101" s="16" t="s">
        <v>614</v>
      </c>
      <c r="E101" s="22" t="s">
        <v>307</v>
      </c>
      <c r="F101" s="19" t="s">
        <v>41</v>
      </c>
      <c r="G101" s="70" t="s">
        <v>615</v>
      </c>
      <c r="H101" s="19" t="s">
        <v>41</v>
      </c>
      <c r="I101" s="82" t="s">
        <v>546</v>
      </c>
      <c r="J101" s="26">
        <v>10</v>
      </c>
      <c r="K101" s="147">
        <v>2.5</v>
      </c>
      <c r="L101" s="25">
        <v>2.5</v>
      </c>
      <c r="M101" s="339">
        <v>1</v>
      </c>
      <c r="N101" s="37">
        <v>1.5</v>
      </c>
      <c r="O101" s="37">
        <f t="shared" si="1"/>
        <v>15</v>
      </c>
      <c r="P101" s="309" t="s">
        <v>791</v>
      </c>
      <c r="Q101" s="55">
        <v>0.12</v>
      </c>
      <c r="R101" s="40" t="s">
        <v>616</v>
      </c>
      <c r="S101" s="40">
        <v>0.28000000000000003</v>
      </c>
      <c r="T101" s="40"/>
      <c r="U101" s="99" t="s">
        <v>309</v>
      </c>
    </row>
    <row r="102" spans="1:21" s="3" customFormat="1" ht="18" customHeight="1">
      <c r="A102" s="15">
        <v>100</v>
      </c>
      <c r="B102" s="340"/>
      <c r="C102" s="69" t="s">
        <v>310</v>
      </c>
      <c r="D102" s="16" t="s">
        <v>617</v>
      </c>
      <c r="E102" s="22" t="s">
        <v>311</v>
      </c>
      <c r="F102" s="19" t="s">
        <v>41</v>
      </c>
      <c r="G102" s="70" t="s">
        <v>501</v>
      </c>
      <c r="H102" s="19" t="s">
        <v>41</v>
      </c>
      <c r="I102" s="82" t="s">
        <v>484</v>
      </c>
      <c r="J102" s="26">
        <v>20</v>
      </c>
      <c r="K102" s="147">
        <v>5.5</v>
      </c>
      <c r="L102" s="25">
        <v>5.5</v>
      </c>
      <c r="M102" s="339"/>
      <c r="N102" s="37">
        <v>1.5</v>
      </c>
      <c r="O102" s="37">
        <f t="shared" si="1"/>
        <v>30</v>
      </c>
      <c r="P102" s="309" t="s">
        <v>773</v>
      </c>
      <c r="Q102" s="55">
        <v>0</v>
      </c>
      <c r="R102" s="40" t="s">
        <v>502</v>
      </c>
      <c r="S102" s="40">
        <v>11.99</v>
      </c>
      <c r="T102" s="40">
        <v>0.2</v>
      </c>
      <c r="U102" s="99" t="s">
        <v>140</v>
      </c>
    </row>
    <row r="103" spans="1:21" s="3" customFormat="1" ht="18" customHeight="1">
      <c r="A103" s="15">
        <v>101</v>
      </c>
      <c r="B103" s="340"/>
      <c r="C103" s="69" t="s">
        <v>300</v>
      </c>
      <c r="D103" s="16" t="s">
        <v>611</v>
      </c>
      <c r="E103" s="22" t="s">
        <v>301</v>
      </c>
      <c r="F103" s="19" t="s">
        <v>41</v>
      </c>
      <c r="G103" s="70" t="s">
        <v>515</v>
      </c>
      <c r="H103" s="19" t="s">
        <v>41</v>
      </c>
      <c r="I103" s="82" t="s">
        <v>484</v>
      </c>
      <c r="J103" s="26">
        <v>38</v>
      </c>
      <c r="K103" s="147">
        <v>9.1</v>
      </c>
      <c r="L103" s="25">
        <v>9.1</v>
      </c>
      <c r="M103" s="339"/>
      <c r="N103" s="37">
        <v>1.5</v>
      </c>
      <c r="O103" s="37">
        <f t="shared" si="1"/>
        <v>57</v>
      </c>
      <c r="P103" s="309" t="s">
        <v>790</v>
      </c>
      <c r="Q103" s="55">
        <v>0.03</v>
      </c>
      <c r="R103" s="40" t="s">
        <v>612</v>
      </c>
      <c r="S103" s="40">
        <v>24.29</v>
      </c>
      <c r="T103" s="40">
        <v>0.2</v>
      </c>
      <c r="U103" s="26" t="s">
        <v>304</v>
      </c>
    </row>
    <row r="104" spans="1:21" s="3" customFormat="1" ht="18" customHeight="1">
      <c r="A104" s="15">
        <v>102</v>
      </c>
      <c r="B104" s="340"/>
      <c r="C104" s="69" t="s">
        <v>313</v>
      </c>
      <c r="D104" s="16" t="s">
        <v>618</v>
      </c>
      <c r="E104" s="22" t="s">
        <v>314</v>
      </c>
      <c r="F104" s="19" t="s">
        <v>41</v>
      </c>
      <c r="G104" s="70" t="s">
        <v>619</v>
      </c>
      <c r="H104" s="19" t="s">
        <v>41</v>
      </c>
      <c r="I104" s="82" t="s">
        <v>484</v>
      </c>
      <c r="J104" s="26">
        <v>30</v>
      </c>
      <c r="K104" s="147">
        <v>4.5</v>
      </c>
      <c r="L104" s="25">
        <v>4.5</v>
      </c>
      <c r="M104" s="339"/>
      <c r="N104" s="37">
        <v>1.5</v>
      </c>
      <c r="O104" s="37">
        <f t="shared" si="1"/>
        <v>45</v>
      </c>
      <c r="P104" s="309" t="s">
        <v>491</v>
      </c>
      <c r="Q104" s="55">
        <v>2.7E-2</v>
      </c>
      <c r="R104" s="40" t="s">
        <v>620</v>
      </c>
      <c r="S104" s="40">
        <v>12.99</v>
      </c>
      <c r="T104" s="40"/>
      <c r="U104" s="99" t="s">
        <v>316</v>
      </c>
    </row>
    <row r="105" spans="1:21" s="3" customFormat="1" ht="18" customHeight="1">
      <c r="A105" s="15">
        <v>103</v>
      </c>
      <c r="B105" s="340"/>
      <c r="C105" s="69" t="s">
        <v>282</v>
      </c>
      <c r="D105" s="16" t="s">
        <v>598</v>
      </c>
      <c r="E105" s="22" t="s">
        <v>283</v>
      </c>
      <c r="F105" s="19" t="s">
        <v>41</v>
      </c>
      <c r="G105" s="70" t="s">
        <v>621</v>
      </c>
      <c r="H105" s="19" t="s">
        <v>41</v>
      </c>
      <c r="I105" s="82" t="s">
        <v>622</v>
      </c>
      <c r="J105" s="26">
        <v>13</v>
      </c>
      <c r="K105" s="147">
        <v>2.41</v>
      </c>
      <c r="L105" s="25">
        <v>2.41</v>
      </c>
      <c r="M105" s="339"/>
      <c r="N105" s="37">
        <v>1.5</v>
      </c>
      <c r="O105" s="37">
        <f t="shared" si="1"/>
        <v>19.5</v>
      </c>
      <c r="P105" s="309" t="s">
        <v>777</v>
      </c>
      <c r="Q105" s="55">
        <v>6.3E-2</v>
      </c>
      <c r="R105" s="40" t="s">
        <v>601</v>
      </c>
      <c r="S105" s="40">
        <v>11.99</v>
      </c>
      <c r="T105" s="40">
        <v>7.0000000000000007E-2</v>
      </c>
      <c r="U105" s="26" t="s">
        <v>319</v>
      </c>
    </row>
    <row r="106" spans="1:21" s="3" customFormat="1" ht="18" customHeight="1">
      <c r="A106" s="15">
        <v>104</v>
      </c>
      <c r="B106" s="15" t="s">
        <v>623</v>
      </c>
      <c r="C106" s="16" t="s">
        <v>321</v>
      </c>
      <c r="D106" s="73" t="s">
        <v>624</v>
      </c>
      <c r="E106" s="18" t="s">
        <v>61</v>
      </c>
      <c r="F106" s="19" t="s">
        <v>41</v>
      </c>
      <c r="G106" s="20" t="s">
        <v>625</v>
      </c>
      <c r="H106" s="19" t="s">
        <v>41</v>
      </c>
      <c r="I106" s="38" t="s">
        <v>626</v>
      </c>
      <c r="J106" s="40">
        <v>48</v>
      </c>
      <c r="K106" s="147">
        <v>14.46</v>
      </c>
      <c r="L106" s="39">
        <v>14.46</v>
      </c>
      <c r="M106" s="15">
        <v>1</v>
      </c>
      <c r="N106" s="37">
        <v>0.33</v>
      </c>
      <c r="O106" s="37">
        <f t="shared" si="1"/>
        <v>15.84</v>
      </c>
      <c r="P106" s="309" t="s">
        <v>765</v>
      </c>
      <c r="Q106" s="55">
        <v>1.7000000000000001E-2</v>
      </c>
      <c r="R106" s="100" t="s">
        <v>627</v>
      </c>
      <c r="S106" s="100">
        <v>11.62</v>
      </c>
      <c r="T106" s="100">
        <v>0.27</v>
      </c>
      <c r="U106" s="56" t="s">
        <v>325</v>
      </c>
    </row>
    <row r="107" spans="1:21" s="3" customFormat="1" ht="18" customHeight="1">
      <c r="A107" s="15">
        <v>105</v>
      </c>
      <c r="B107" s="15" t="s">
        <v>628</v>
      </c>
      <c r="C107" s="16" t="s">
        <v>321</v>
      </c>
      <c r="D107" s="73" t="s">
        <v>624</v>
      </c>
      <c r="E107" s="18" t="s">
        <v>61</v>
      </c>
      <c r="F107" s="19" t="s">
        <v>41</v>
      </c>
      <c r="G107" s="20" t="s">
        <v>625</v>
      </c>
      <c r="H107" s="19" t="s">
        <v>41</v>
      </c>
      <c r="I107" s="38" t="s">
        <v>626</v>
      </c>
      <c r="J107" s="40">
        <v>48</v>
      </c>
      <c r="K107" s="147">
        <v>14.46</v>
      </c>
      <c r="L107" s="39">
        <v>14.46</v>
      </c>
      <c r="M107" s="15">
        <v>1</v>
      </c>
      <c r="N107" s="37">
        <v>0.33</v>
      </c>
      <c r="O107" s="37">
        <f t="shared" si="1"/>
        <v>15.84</v>
      </c>
      <c r="P107" s="309" t="s">
        <v>765</v>
      </c>
      <c r="Q107" s="55">
        <v>1.7000000000000001E-2</v>
      </c>
      <c r="R107" s="100" t="s">
        <v>627</v>
      </c>
      <c r="S107" s="100">
        <v>11.62</v>
      </c>
      <c r="T107" s="100">
        <v>0.27</v>
      </c>
      <c r="U107" s="57" t="s">
        <v>325</v>
      </c>
    </row>
    <row r="108" spans="1:21" s="3" customFormat="1" ht="18" customHeight="1">
      <c r="A108" s="15">
        <v>106</v>
      </c>
      <c r="B108" s="15" t="s">
        <v>629</v>
      </c>
      <c r="C108" s="16" t="s">
        <v>321</v>
      </c>
      <c r="D108" s="73" t="s">
        <v>624</v>
      </c>
      <c r="E108" s="18" t="s">
        <v>61</v>
      </c>
      <c r="F108" s="19" t="s">
        <v>41</v>
      </c>
      <c r="G108" s="20" t="s">
        <v>625</v>
      </c>
      <c r="H108" s="19" t="s">
        <v>41</v>
      </c>
      <c r="I108" s="38" t="s">
        <v>626</v>
      </c>
      <c r="J108" s="40">
        <v>48</v>
      </c>
      <c r="K108" s="147">
        <v>14.46</v>
      </c>
      <c r="L108" s="39">
        <v>14.46</v>
      </c>
      <c r="M108" s="15">
        <v>1</v>
      </c>
      <c r="N108" s="37">
        <v>0.33</v>
      </c>
      <c r="O108" s="37">
        <f t="shared" si="1"/>
        <v>15.84</v>
      </c>
      <c r="P108" s="309" t="s">
        <v>765</v>
      </c>
      <c r="Q108" s="55">
        <v>1.7000000000000001E-2</v>
      </c>
      <c r="R108" s="100" t="s">
        <v>627</v>
      </c>
      <c r="S108" s="100">
        <v>11.62</v>
      </c>
      <c r="T108" s="100">
        <v>0.27</v>
      </c>
      <c r="U108" s="57" t="s">
        <v>325</v>
      </c>
    </row>
    <row r="109" spans="1:21" s="3" customFormat="1" ht="18" customHeight="1">
      <c r="A109" s="15">
        <v>107</v>
      </c>
      <c r="B109" s="15" t="s">
        <v>630</v>
      </c>
      <c r="C109" s="16" t="s">
        <v>321</v>
      </c>
      <c r="D109" s="73" t="s">
        <v>624</v>
      </c>
      <c r="E109" s="18" t="s">
        <v>61</v>
      </c>
      <c r="F109" s="19" t="s">
        <v>41</v>
      </c>
      <c r="G109" s="20" t="s">
        <v>625</v>
      </c>
      <c r="H109" s="19" t="s">
        <v>41</v>
      </c>
      <c r="I109" s="38" t="s">
        <v>626</v>
      </c>
      <c r="J109" s="40">
        <v>48</v>
      </c>
      <c r="K109" s="147">
        <v>14.46</v>
      </c>
      <c r="L109" s="39">
        <v>14.46</v>
      </c>
      <c r="M109" s="15">
        <v>1</v>
      </c>
      <c r="N109" s="37">
        <v>0.33</v>
      </c>
      <c r="O109" s="37">
        <f t="shared" si="1"/>
        <v>15.84</v>
      </c>
      <c r="P109" s="309" t="s">
        <v>765</v>
      </c>
      <c r="Q109" s="55">
        <v>1.7000000000000001E-2</v>
      </c>
      <c r="R109" s="100" t="s">
        <v>627</v>
      </c>
      <c r="S109" s="100">
        <v>11.62</v>
      </c>
      <c r="T109" s="100">
        <v>0.27</v>
      </c>
      <c r="U109" s="57" t="s">
        <v>325</v>
      </c>
    </row>
    <row r="110" spans="1:21" s="3" customFormat="1" ht="18" customHeight="1">
      <c r="A110" s="15">
        <v>108</v>
      </c>
      <c r="B110" s="15" t="s">
        <v>631</v>
      </c>
      <c r="C110" s="16" t="s">
        <v>321</v>
      </c>
      <c r="D110" s="73" t="s">
        <v>624</v>
      </c>
      <c r="E110" s="18" t="s">
        <v>61</v>
      </c>
      <c r="F110" s="19" t="s">
        <v>41</v>
      </c>
      <c r="G110" s="20" t="s">
        <v>625</v>
      </c>
      <c r="H110" s="19" t="s">
        <v>41</v>
      </c>
      <c r="I110" s="38" t="s">
        <v>626</v>
      </c>
      <c r="J110" s="40">
        <v>48</v>
      </c>
      <c r="K110" s="147">
        <v>14.46</v>
      </c>
      <c r="L110" s="39">
        <v>14.46</v>
      </c>
      <c r="M110" s="15">
        <v>1</v>
      </c>
      <c r="N110" s="37">
        <v>0.33</v>
      </c>
      <c r="O110" s="37">
        <f t="shared" si="1"/>
        <v>15.84</v>
      </c>
      <c r="P110" s="309" t="s">
        <v>765</v>
      </c>
      <c r="Q110" s="55">
        <v>1.7000000000000001E-2</v>
      </c>
      <c r="R110" s="100" t="s">
        <v>627</v>
      </c>
      <c r="S110" s="100">
        <v>11.62</v>
      </c>
      <c r="T110" s="100">
        <v>0.27</v>
      </c>
      <c r="U110" s="57" t="s">
        <v>325</v>
      </c>
    </row>
    <row r="111" spans="1:21" s="3" customFormat="1" ht="18" customHeight="1">
      <c r="A111" s="15">
        <v>109</v>
      </c>
      <c r="B111" s="15" t="s">
        <v>632</v>
      </c>
      <c r="C111" s="24" t="s">
        <v>331</v>
      </c>
      <c r="D111" s="74" t="s">
        <v>633</v>
      </c>
      <c r="E111" s="22" t="s">
        <v>332</v>
      </c>
      <c r="F111" s="19" t="s">
        <v>41</v>
      </c>
      <c r="G111" s="20" t="s">
        <v>634</v>
      </c>
      <c r="H111" s="19" t="s">
        <v>41</v>
      </c>
      <c r="I111" s="38" t="s">
        <v>635</v>
      </c>
      <c r="J111" s="40">
        <v>48</v>
      </c>
      <c r="K111" s="147">
        <v>7.26</v>
      </c>
      <c r="L111" s="39">
        <v>7.26</v>
      </c>
      <c r="M111" s="15">
        <v>1</v>
      </c>
      <c r="N111" s="37">
        <v>0.22</v>
      </c>
      <c r="O111" s="37">
        <f t="shared" si="1"/>
        <v>10.56</v>
      </c>
      <c r="P111" s="309" t="s">
        <v>773</v>
      </c>
      <c r="Q111" s="55">
        <v>0</v>
      </c>
      <c r="R111" s="101" t="s">
        <v>636</v>
      </c>
      <c r="S111" s="101">
        <v>10.99</v>
      </c>
      <c r="T111" s="101">
        <v>0.12</v>
      </c>
      <c r="U111" s="102" t="s">
        <v>335</v>
      </c>
    </row>
    <row r="112" spans="1:21" s="3" customFormat="1" ht="18" customHeight="1">
      <c r="A112" s="15">
        <v>110</v>
      </c>
      <c r="B112" s="15" t="s">
        <v>637</v>
      </c>
      <c r="C112" s="24" t="s">
        <v>331</v>
      </c>
      <c r="D112" s="74" t="s">
        <v>633</v>
      </c>
      <c r="E112" s="22" t="s">
        <v>332</v>
      </c>
      <c r="F112" s="19" t="s">
        <v>41</v>
      </c>
      <c r="G112" s="20" t="s">
        <v>634</v>
      </c>
      <c r="H112" s="19" t="s">
        <v>41</v>
      </c>
      <c r="I112" s="38" t="s">
        <v>635</v>
      </c>
      <c r="J112" s="40">
        <v>48</v>
      </c>
      <c r="K112" s="147">
        <v>7.26</v>
      </c>
      <c r="L112" s="39">
        <v>7.26</v>
      </c>
      <c r="M112" s="15">
        <v>1</v>
      </c>
      <c r="N112" s="37">
        <v>0.22</v>
      </c>
      <c r="O112" s="37">
        <f t="shared" si="1"/>
        <v>10.56</v>
      </c>
      <c r="P112" s="309" t="s">
        <v>773</v>
      </c>
      <c r="Q112" s="55">
        <v>0</v>
      </c>
      <c r="R112" s="101" t="s">
        <v>636</v>
      </c>
      <c r="S112" s="101">
        <v>10.99</v>
      </c>
      <c r="T112" s="101">
        <v>0.12</v>
      </c>
      <c r="U112" s="57" t="s">
        <v>335</v>
      </c>
    </row>
    <row r="113" spans="1:21" s="3" customFormat="1" ht="18" customHeight="1">
      <c r="A113" s="15">
        <v>111</v>
      </c>
      <c r="B113" s="15" t="s">
        <v>638</v>
      </c>
      <c r="C113" s="24" t="s">
        <v>331</v>
      </c>
      <c r="D113" s="74" t="s">
        <v>633</v>
      </c>
      <c r="E113" s="22" t="s">
        <v>332</v>
      </c>
      <c r="F113" s="19" t="s">
        <v>41</v>
      </c>
      <c r="G113" s="20" t="s">
        <v>634</v>
      </c>
      <c r="H113" s="19" t="s">
        <v>41</v>
      </c>
      <c r="I113" s="38" t="s">
        <v>635</v>
      </c>
      <c r="J113" s="40">
        <v>48</v>
      </c>
      <c r="K113" s="147">
        <v>7.26</v>
      </c>
      <c r="L113" s="39">
        <v>7.26</v>
      </c>
      <c r="M113" s="15">
        <v>1</v>
      </c>
      <c r="N113" s="37">
        <v>0.22</v>
      </c>
      <c r="O113" s="37">
        <f t="shared" si="1"/>
        <v>10.56</v>
      </c>
      <c r="P113" s="309" t="s">
        <v>773</v>
      </c>
      <c r="Q113" s="55">
        <v>0</v>
      </c>
      <c r="R113" s="101" t="s">
        <v>636</v>
      </c>
      <c r="S113" s="101">
        <v>10.99</v>
      </c>
      <c r="T113" s="101">
        <v>0.12</v>
      </c>
      <c r="U113" s="57" t="s">
        <v>335</v>
      </c>
    </row>
    <row r="114" spans="1:21" s="3" customFormat="1" ht="18" customHeight="1">
      <c r="A114" s="15">
        <v>112</v>
      </c>
      <c r="B114" s="15" t="s">
        <v>639</v>
      </c>
      <c r="C114" s="24" t="s">
        <v>331</v>
      </c>
      <c r="D114" s="74" t="s">
        <v>633</v>
      </c>
      <c r="E114" s="22" t="s">
        <v>332</v>
      </c>
      <c r="F114" s="19" t="s">
        <v>41</v>
      </c>
      <c r="G114" s="20" t="s">
        <v>634</v>
      </c>
      <c r="H114" s="19" t="s">
        <v>41</v>
      </c>
      <c r="I114" s="38" t="s">
        <v>635</v>
      </c>
      <c r="J114" s="40">
        <v>46</v>
      </c>
      <c r="K114" s="147">
        <v>7.02</v>
      </c>
      <c r="L114" s="39">
        <v>7.02</v>
      </c>
      <c r="M114" s="15">
        <v>1</v>
      </c>
      <c r="N114" s="37">
        <v>0.22</v>
      </c>
      <c r="O114" s="37">
        <f t="shared" si="1"/>
        <v>10.119999999999999</v>
      </c>
      <c r="P114" s="309" t="s">
        <v>773</v>
      </c>
      <c r="Q114" s="55">
        <v>0</v>
      </c>
      <c r="R114" s="101" t="s">
        <v>636</v>
      </c>
      <c r="S114" s="101">
        <v>10.99</v>
      </c>
      <c r="T114" s="101">
        <v>0.12</v>
      </c>
      <c r="U114" s="57" t="s">
        <v>335</v>
      </c>
    </row>
    <row r="115" spans="1:21" s="3" customFormat="1" ht="18" customHeight="1">
      <c r="A115" s="15">
        <v>113</v>
      </c>
      <c r="B115" s="340" t="s">
        <v>640</v>
      </c>
      <c r="C115" s="24" t="s">
        <v>340</v>
      </c>
      <c r="D115" s="16" t="s">
        <v>641</v>
      </c>
      <c r="E115" s="15" t="s">
        <v>642</v>
      </c>
      <c r="F115" s="75" t="s">
        <v>342</v>
      </c>
      <c r="G115" s="76" t="s">
        <v>343</v>
      </c>
      <c r="H115" s="19" t="s">
        <v>41</v>
      </c>
      <c r="I115" s="41" t="s">
        <v>643</v>
      </c>
      <c r="J115" s="15">
        <v>100</v>
      </c>
      <c r="K115" s="147">
        <v>7.5</v>
      </c>
      <c r="L115" s="34">
        <v>7.53</v>
      </c>
      <c r="M115" s="339">
        <v>1</v>
      </c>
      <c r="N115" s="37">
        <v>0.15</v>
      </c>
      <c r="O115" s="37">
        <f t="shared" si="1"/>
        <v>15</v>
      </c>
      <c r="P115" s="309" t="s">
        <v>792</v>
      </c>
      <c r="Q115" s="55">
        <v>0</v>
      </c>
      <c r="R115" s="101" t="s">
        <v>644</v>
      </c>
      <c r="S115" s="101">
        <v>9.99</v>
      </c>
      <c r="T115" s="101">
        <v>0.06</v>
      </c>
      <c r="U115" s="102" t="s">
        <v>345</v>
      </c>
    </row>
    <row r="116" spans="1:21" s="3" customFormat="1" ht="18" customHeight="1">
      <c r="A116" s="15">
        <v>114</v>
      </c>
      <c r="B116" s="340"/>
      <c r="C116" s="24" t="s">
        <v>346</v>
      </c>
      <c r="D116" s="16" t="s">
        <v>645</v>
      </c>
      <c r="E116" s="18" t="s">
        <v>646</v>
      </c>
      <c r="F116" s="75" t="s">
        <v>348</v>
      </c>
      <c r="G116" s="76" t="s">
        <v>647</v>
      </c>
      <c r="H116" s="19" t="s">
        <v>41</v>
      </c>
      <c r="I116" s="86" t="s">
        <v>350</v>
      </c>
      <c r="J116" s="15">
        <v>89</v>
      </c>
      <c r="K116" s="147">
        <v>19.3</v>
      </c>
      <c r="L116" s="39">
        <v>19.3</v>
      </c>
      <c r="M116" s="339"/>
      <c r="N116" s="37">
        <v>0.11</v>
      </c>
      <c r="O116" s="37">
        <f t="shared" si="1"/>
        <v>9.7900000000000009</v>
      </c>
      <c r="P116" s="309" t="s">
        <v>793</v>
      </c>
      <c r="Q116" s="55">
        <v>6.5000000000000002E-2</v>
      </c>
      <c r="R116" s="103" t="s">
        <v>648</v>
      </c>
      <c r="S116" s="103">
        <v>6.99</v>
      </c>
      <c r="T116" s="103">
        <v>0.2</v>
      </c>
      <c r="U116" s="56" t="s">
        <v>351</v>
      </c>
    </row>
    <row r="117" spans="1:21" s="3" customFormat="1" ht="18" customHeight="1">
      <c r="A117" s="15">
        <v>115</v>
      </c>
      <c r="B117" s="25" t="s">
        <v>649</v>
      </c>
      <c r="C117" s="24" t="s">
        <v>346</v>
      </c>
      <c r="D117" s="16" t="s">
        <v>645</v>
      </c>
      <c r="E117" s="18" t="s">
        <v>646</v>
      </c>
      <c r="F117" s="75" t="s">
        <v>348</v>
      </c>
      <c r="G117" s="76" t="s">
        <v>647</v>
      </c>
      <c r="H117" s="19" t="s">
        <v>41</v>
      </c>
      <c r="I117" s="86" t="s">
        <v>350</v>
      </c>
      <c r="J117" s="15">
        <v>89</v>
      </c>
      <c r="K117" s="147">
        <v>19.3</v>
      </c>
      <c r="L117" s="39">
        <v>19.3</v>
      </c>
      <c r="M117" s="26">
        <v>1</v>
      </c>
      <c r="N117" s="37">
        <v>0.11</v>
      </c>
      <c r="O117" s="37">
        <f t="shared" si="1"/>
        <v>9.7900000000000009</v>
      </c>
      <c r="P117" s="309" t="s">
        <v>793</v>
      </c>
      <c r="Q117" s="55">
        <v>6.5000000000000002E-2</v>
      </c>
      <c r="R117" s="103" t="s">
        <v>648</v>
      </c>
      <c r="S117" s="103">
        <v>6.99</v>
      </c>
      <c r="T117" s="103">
        <v>0.2</v>
      </c>
      <c r="U117" s="104" t="s">
        <v>351</v>
      </c>
    </row>
    <row r="118" spans="1:21" s="3" customFormat="1" ht="18" customHeight="1">
      <c r="A118" s="15">
        <v>116</v>
      </c>
      <c r="B118" s="25" t="s">
        <v>650</v>
      </c>
      <c r="C118" s="24" t="s">
        <v>346</v>
      </c>
      <c r="D118" s="16" t="s">
        <v>645</v>
      </c>
      <c r="E118" s="18" t="s">
        <v>646</v>
      </c>
      <c r="F118" s="75" t="s">
        <v>348</v>
      </c>
      <c r="G118" s="76" t="s">
        <v>647</v>
      </c>
      <c r="H118" s="19" t="s">
        <v>41</v>
      </c>
      <c r="I118" s="86" t="s">
        <v>350</v>
      </c>
      <c r="J118" s="15">
        <v>89</v>
      </c>
      <c r="K118" s="147">
        <v>19.3</v>
      </c>
      <c r="L118" s="39">
        <v>19.3</v>
      </c>
      <c r="M118" s="26">
        <v>1</v>
      </c>
      <c r="N118" s="37">
        <v>0.11</v>
      </c>
      <c r="O118" s="37">
        <f t="shared" si="1"/>
        <v>9.7900000000000009</v>
      </c>
      <c r="P118" s="309" t="s">
        <v>793</v>
      </c>
      <c r="Q118" s="55">
        <v>6.5000000000000002E-2</v>
      </c>
      <c r="R118" s="103" t="s">
        <v>648</v>
      </c>
      <c r="S118" s="103">
        <v>6.99</v>
      </c>
      <c r="T118" s="103">
        <v>0.2</v>
      </c>
      <c r="U118" s="105" t="s">
        <v>351</v>
      </c>
    </row>
    <row r="119" spans="1:21" s="3" customFormat="1" ht="18" customHeight="1">
      <c r="A119" s="15">
        <v>117</v>
      </c>
      <c r="B119" s="25" t="s">
        <v>651</v>
      </c>
      <c r="C119" s="24" t="s">
        <v>346</v>
      </c>
      <c r="D119" s="16" t="s">
        <v>645</v>
      </c>
      <c r="E119" s="18" t="s">
        <v>646</v>
      </c>
      <c r="F119" s="75" t="s">
        <v>348</v>
      </c>
      <c r="G119" s="76" t="s">
        <v>647</v>
      </c>
      <c r="H119" s="19" t="s">
        <v>41</v>
      </c>
      <c r="I119" s="86" t="s">
        <v>350</v>
      </c>
      <c r="J119" s="15">
        <v>89</v>
      </c>
      <c r="K119" s="147">
        <v>19.3</v>
      </c>
      <c r="L119" s="39">
        <v>19.3</v>
      </c>
      <c r="M119" s="26">
        <v>1</v>
      </c>
      <c r="N119" s="37">
        <v>0.11</v>
      </c>
      <c r="O119" s="37">
        <f t="shared" si="1"/>
        <v>9.7900000000000009</v>
      </c>
      <c r="P119" s="309" t="s">
        <v>793</v>
      </c>
      <c r="Q119" s="55">
        <v>6.5000000000000002E-2</v>
      </c>
      <c r="R119" s="103" t="s">
        <v>648</v>
      </c>
      <c r="S119" s="103">
        <v>6.99</v>
      </c>
      <c r="T119" s="103">
        <v>0.2</v>
      </c>
      <c r="U119" s="104" t="s">
        <v>351</v>
      </c>
    </row>
    <row r="120" spans="1:21" s="3" customFormat="1" ht="18" customHeight="1">
      <c r="A120" s="15">
        <v>118</v>
      </c>
      <c r="B120" s="25" t="s">
        <v>652</v>
      </c>
      <c r="C120" s="24" t="s">
        <v>346</v>
      </c>
      <c r="D120" s="16" t="s">
        <v>645</v>
      </c>
      <c r="E120" s="18" t="s">
        <v>646</v>
      </c>
      <c r="F120" s="75" t="s">
        <v>348</v>
      </c>
      <c r="G120" s="76" t="s">
        <v>647</v>
      </c>
      <c r="H120" s="19" t="s">
        <v>41</v>
      </c>
      <c r="I120" s="87" t="s">
        <v>350</v>
      </c>
      <c r="J120" s="15">
        <v>89</v>
      </c>
      <c r="K120" s="147">
        <v>19.3</v>
      </c>
      <c r="L120" s="39">
        <v>19.3</v>
      </c>
      <c r="M120" s="26">
        <v>1</v>
      </c>
      <c r="N120" s="37">
        <v>0.11</v>
      </c>
      <c r="O120" s="37">
        <f t="shared" si="1"/>
        <v>9.7900000000000009</v>
      </c>
      <c r="P120" s="308" t="s">
        <v>793</v>
      </c>
      <c r="Q120" s="55">
        <v>6.5000000000000002E-2</v>
      </c>
      <c r="R120" s="103" t="s">
        <v>648</v>
      </c>
      <c r="S120" s="103">
        <v>6.99</v>
      </c>
      <c r="T120" s="103">
        <v>0.2</v>
      </c>
      <c r="U120" s="104" t="s">
        <v>351</v>
      </c>
    </row>
    <row r="121" spans="1:21" s="3" customFormat="1" ht="18" customHeight="1">
      <c r="A121" s="15">
        <v>119</v>
      </c>
      <c r="B121" s="15" t="s">
        <v>653</v>
      </c>
      <c r="C121" s="24" t="s">
        <v>357</v>
      </c>
      <c r="D121" s="16" t="s">
        <v>645</v>
      </c>
      <c r="E121" s="22" t="s">
        <v>358</v>
      </c>
      <c r="F121" s="76" t="s">
        <v>41</v>
      </c>
      <c r="G121" s="75" t="s">
        <v>359</v>
      </c>
      <c r="H121" s="19" t="s">
        <v>41</v>
      </c>
      <c r="I121" s="69" t="s">
        <v>654</v>
      </c>
      <c r="J121" s="15">
        <v>9</v>
      </c>
      <c r="K121" s="147">
        <v>9.06</v>
      </c>
      <c r="L121" s="39">
        <v>9.06</v>
      </c>
      <c r="M121" s="26">
        <v>1</v>
      </c>
      <c r="N121" s="37">
        <v>1.32</v>
      </c>
      <c r="O121" s="37">
        <f t="shared" si="1"/>
        <v>11.88</v>
      </c>
      <c r="P121" s="308" t="s">
        <v>794</v>
      </c>
      <c r="Q121" s="55">
        <v>3.2000000000000001E-2</v>
      </c>
      <c r="R121" s="103" t="s">
        <v>655</v>
      </c>
      <c r="S121" s="103">
        <v>18.989999999999998</v>
      </c>
      <c r="T121" s="103">
        <v>0.84</v>
      </c>
      <c r="U121" s="106" t="s">
        <v>361</v>
      </c>
    </row>
    <row r="122" spans="1:21" s="3" customFormat="1" ht="18" customHeight="1">
      <c r="A122" s="15">
        <v>120</v>
      </c>
      <c r="B122" s="15" t="s">
        <v>656</v>
      </c>
      <c r="C122" s="24" t="s">
        <v>357</v>
      </c>
      <c r="D122" s="16" t="s">
        <v>645</v>
      </c>
      <c r="E122" s="22" t="s">
        <v>358</v>
      </c>
      <c r="F122" s="76" t="s">
        <v>41</v>
      </c>
      <c r="G122" s="75" t="s">
        <v>359</v>
      </c>
      <c r="H122" s="19" t="s">
        <v>41</v>
      </c>
      <c r="I122" s="69" t="s">
        <v>654</v>
      </c>
      <c r="J122" s="15">
        <v>11</v>
      </c>
      <c r="K122" s="147">
        <v>10.74</v>
      </c>
      <c r="L122" s="39">
        <v>10.74</v>
      </c>
      <c r="M122" s="26">
        <v>1</v>
      </c>
      <c r="N122" s="37">
        <v>1.32</v>
      </c>
      <c r="O122" s="37">
        <f t="shared" si="1"/>
        <v>14.520000000000001</v>
      </c>
      <c r="P122" s="308" t="s">
        <v>794</v>
      </c>
      <c r="Q122" s="55">
        <v>3.2000000000000001E-2</v>
      </c>
      <c r="R122" s="103" t="s">
        <v>655</v>
      </c>
      <c r="S122" s="103">
        <v>18.989999999999998</v>
      </c>
      <c r="T122" s="103">
        <v>0.84</v>
      </c>
      <c r="U122" s="107" t="s">
        <v>361</v>
      </c>
    </row>
    <row r="123" spans="1:21" s="3" customFormat="1" ht="18" customHeight="1">
      <c r="A123" s="15">
        <v>121</v>
      </c>
      <c r="B123" s="15" t="s">
        <v>657</v>
      </c>
      <c r="C123" s="24" t="s">
        <v>357</v>
      </c>
      <c r="D123" s="16" t="s">
        <v>645</v>
      </c>
      <c r="E123" s="22" t="s">
        <v>358</v>
      </c>
      <c r="F123" s="76" t="s">
        <v>41</v>
      </c>
      <c r="G123" s="75" t="s">
        <v>359</v>
      </c>
      <c r="H123" s="19" t="s">
        <v>41</v>
      </c>
      <c r="I123" s="69" t="s">
        <v>654</v>
      </c>
      <c r="J123" s="15">
        <v>10</v>
      </c>
      <c r="K123" s="147">
        <v>9.9</v>
      </c>
      <c r="L123" s="39">
        <v>9.9</v>
      </c>
      <c r="M123" s="26">
        <v>1</v>
      </c>
      <c r="N123" s="37">
        <v>1.32</v>
      </c>
      <c r="O123" s="37">
        <f t="shared" si="1"/>
        <v>13.200000000000001</v>
      </c>
      <c r="P123" s="308" t="s">
        <v>794</v>
      </c>
      <c r="Q123" s="55">
        <v>3.2000000000000001E-2</v>
      </c>
      <c r="R123" s="103" t="s">
        <v>655</v>
      </c>
      <c r="S123" s="103">
        <v>18.989999999999998</v>
      </c>
      <c r="T123" s="103">
        <v>0.84</v>
      </c>
      <c r="U123" s="107" t="s">
        <v>361</v>
      </c>
    </row>
    <row r="124" spans="1:21" s="3" customFormat="1" ht="18" customHeight="1">
      <c r="A124" s="15">
        <v>122</v>
      </c>
      <c r="B124" s="15" t="s">
        <v>658</v>
      </c>
      <c r="C124" s="77" t="s">
        <v>365</v>
      </c>
      <c r="D124" s="16" t="s">
        <v>659</v>
      </c>
      <c r="E124" s="18" t="s">
        <v>660</v>
      </c>
      <c r="F124" s="78" t="s">
        <v>41</v>
      </c>
      <c r="G124" s="79" t="s">
        <v>367</v>
      </c>
      <c r="H124" s="80" t="s">
        <v>41</v>
      </c>
      <c r="I124" s="33" t="s">
        <v>368</v>
      </c>
      <c r="J124" s="15">
        <v>216</v>
      </c>
      <c r="K124" s="147">
        <v>33.9</v>
      </c>
      <c r="L124" s="39">
        <v>33.9</v>
      </c>
      <c r="M124" s="25">
        <v>1</v>
      </c>
      <c r="N124" s="37">
        <v>0.26</v>
      </c>
      <c r="O124" s="37">
        <f t="shared" si="1"/>
        <v>56.160000000000004</v>
      </c>
      <c r="P124" s="308" t="s">
        <v>795</v>
      </c>
      <c r="Q124" s="55">
        <v>0.12</v>
      </c>
      <c r="R124" s="108" t="s">
        <v>661</v>
      </c>
      <c r="S124" s="108">
        <v>1.99</v>
      </c>
      <c r="T124" s="108">
        <v>0.15</v>
      </c>
      <c r="U124" s="109" t="s">
        <v>369</v>
      </c>
    </row>
    <row r="125" spans="1:21" s="3" customFormat="1" ht="18" customHeight="1">
      <c r="A125" s="15">
        <v>123</v>
      </c>
      <c r="B125" s="15" t="s">
        <v>662</v>
      </c>
      <c r="C125" s="77" t="s">
        <v>365</v>
      </c>
      <c r="D125" s="16" t="s">
        <v>659</v>
      </c>
      <c r="E125" s="18" t="s">
        <v>660</v>
      </c>
      <c r="F125" s="78" t="s">
        <v>41</v>
      </c>
      <c r="G125" s="79" t="s">
        <v>367</v>
      </c>
      <c r="H125" s="80" t="s">
        <v>41</v>
      </c>
      <c r="I125" s="33" t="s">
        <v>368</v>
      </c>
      <c r="J125" s="15">
        <v>216</v>
      </c>
      <c r="K125" s="147">
        <v>33.9</v>
      </c>
      <c r="L125" s="39">
        <v>33.9</v>
      </c>
      <c r="M125" s="25">
        <v>1</v>
      </c>
      <c r="N125" s="37">
        <v>0.26</v>
      </c>
      <c r="O125" s="37">
        <f t="shared" si="1"/>
        <v>56.160000000000004</v>
      </c>
      <c r="P125" s="308" t="s">
        <v>795</v>
      </c>
      <c r="Q125" s="55">
        <v>0.12</v>
      </c>
      <c r="R125" s="108" t="s">
        <v>661</v>
      </c>
      <c r="S125" s="108">
        <v>1.99</v>
      </c>
      <c r="T125" s="108">
        <v>0.15</v>
      </c>
      <c r="U125" s="110" t="s">
        <v>369</v>
      </c>
    </row>
    <row r="126" spans="1:21" s="3" customFormat="1" ht="18" customHeight="1">
      <c r="A126" s="15">
        <v>124</v>
      </c>
      <c r="B126" s="15" t="s">
        <v>663</v>
      </c>
      <c r="C126" s="77" t="s">
        <v>365</v>
      </c>
      <c r="D126" s="16" t="s">
        <v>659</v>
      </c>
      <c r="E126" s="18" t="s">
        <v>660</v>
      </c>
      <c r="F126" s="78" t="s">
        <v>41</v>
      </c>
      <c r="G126" s="79" t="s">
        <v>367</v>
      </c>
      <c r="H126" s="80" t="s">
        <v>41</v>
      </c>
      <c r="I126" s="33" t="s">
        <v>368</v>
      </c>
      <c r="J126" s="15">
        <v>216</v>
      </c>
      <c r="K126" s="147">
        <v>33.9</v>
      </c>
      <c r="L126" s="39">
        <v>33.9</v>
      </c>
      <c r="M126" s="25">
        <v>1</v>
      </c>
      <c r="N126" s="37">
        <v>0.26</v>
      </c>
      <c r="O126" s="37">
        <f t="shared" si="1"/>
        <v>56.160000000000004</v>
      </c>
      <c r="P126" s="308" t="s">
        <v>795</v>
      </c>
      <c r="Q126" s="55">
        <v>0.12</v>
      </c>
      <c r="R126" s="108" t="s">
        <v>661</v>
      </c>
      <c r="S126" s="108">
        <v>1.99</v>
      </c>
      <c r="T126" s="108">
        <v>0.15</v>
      </c>
      <c r="U126" s="110" t="s">
        <v>369</v>
      </c>
    </row>
    <row r="127" spans="1:21" s="3" customFormat="1" ht="18" customHeight="1">
      <c r="A127" s="15">
        <v>125</v>
      </c>
      <c r="B127" s="23" t="s">
        <v>664</v>
      </c>
      <c r="C127" s="24" t="s">
        <v>80</v>
      </c>
      <c r="D127" s="16" t="s">
        <v>463</v>
      </c>
      <c r="E127" s="22" t="s">
        <v>81</v>
      </c>
      <c r="F127" s="19" t="s">
        <v>41</v>
      </c>
      <c r="G127" s="20" t="s">
        <v>464</v>
      </c>
      <c r="H127" s="19" t="s">
        <v>41</v>
      </c>
      <c r="I127" s="16" t="s">
        <v>665</v>
      </c>
      <c r="J127" s="42">
        <v>128</v>
      </c>
      <c r="K127" s="147">
        <v>7.26</v>
      </c>
      <c r="L127" s="39">
        <v>7.26</v>
      </c>
      <c r="M127" s="25">
        <v>1</v>
      </c>
      <c r="N127" s="37">
        <v>0.08</v>
      </c>
      <c r="O127" s="37">
        <f t="shared" si="1"/>
        <v>10.24</v>
      </c>
      <c r="P127" s="308" t="s">
        <v>767</v>
      </c>
      <c r="Q127" s="55">
        <v>1.7000000000000001E-2</v>
      </c>
      <c r="R127" s="16" t="s">
        <v>466</v>
      </c>
      <c r="S127" s="16">
        <v>7.99</v>
      </c>
      <c r="T127" s="16">
        <v>4.4999999999999998E-2</v>
      </c>
      <c r="U127" s="111" t="s">
        <v>375</v>
      </c>
    </row>
    <row r="128" spans="1:21" s="3" customFormat="1" ht="18" customHeight="1">
      <c r="A128" s="15">
        <v>126</v>
      </c>
      <c r="B128" s="23" t="s">
        <v>666</v>
      </c>
      <c r="C128" s="24" t="s">
        <v>80</v>
      </c>
      <c r="D128" s="16" t="s">
        <v>463</v>
      </c>
      <c r="E128" s="22" t="s">
        <v>81</v>
      </c>
      <c r="F128" s="19" t="s">
        <v>41</v>
      </c>
      <c r="G128" s="20" t="s">
        <v>464</v>
      </c>
      <c r="H128" s="19" t="s">
        <v>41</v>
      </c>
      <c r="I128" s="16" t="s">
        <v>665</v>
      </c>
      <c r="J128" s="42">
        <v>128</v>
      </c>
      <c r="K128" s="147">
        <v>7.26</v>
      </c>
      <c r="L128" s="39">
        <v>7.26</v>
      </c>
      <c r="M128" s="25">
        <v>1</v>
      </c>
      <c r="N128" s="37">
        <v>0.08</v>
      </c>
      <c r="O128" s="37">
        <f t="shared" si="1"/>
        <v>10.24</v>
      </c>
      <c r="P128" s="308" t="s">
        <v>767</v>
      </c>
      <c r="Q128" s="55">
        <v>1.7000000000000001E-2</v>
      </c>
      <c r="R128" s="16" t="s">
        <v>466</v>
      </c>
      <c r="S128" s="16">
        <v>7.99</v>
      </c>
      <c r="T128" s="16">
        <v>4.4999999999999998E-2</v>
      </c>
      <c r="U128" s="111" t="s">
        <v>375</v>
      </c>
    </row>
    <row r="129" spans="1:21" s="3" customFormat="1" ht="18" customHeight="1">
      <c r="A129" s="15">
        <v>127</v>
      </c>
      <c r="B129" s="23" t="s">
        <v>667</v>
      </c>
      <c r="C129" s="24" t="s">
        <v>80</v>
      </c>
      <c r="D129" s="16" t="s">
        <v>463</v>
      </c>
      <c r="E129" s="22" t="s">
        <v>81</v>
      </c>
      <c r="F129" s="19" t="s">
        <v>41</v>
      </c>
      <c r="G129" s="20" t="s">
        <v>464</v>
      </c>
      <c r="H129" s="19" t="s">
        <v>41</v>
      </c>
      <c r="I129" s="16" t="s">
        <v>665</v>
      </c>
      <c r="J129" s="42">
        <v>128</v>
      </c>
      <c r="K129" s="147">
        <v>7.26</v>
      </c>
      <c r="L129" s="39">
        <v>7.26</v>
      </c>
      <c r="M129" s="25">
        <v>1</v>
      </c>
      <c r="N129" s="37">
        <v>0.08</v>
      </c>
      <c r="O129" s="37">
        <f t="shared" si="1"/>
        <v>10.24</v>
      </c>
      <c r="P129" s="308" t="s">
        <v>767</v>
      </c>
      <c r="Q129" s="55">
        <v>1.7000000000000001E-2</v>
      </c>
      <c r="R129" s="16" t="s">
        <v>466</v>
      </c>
      <c r="S129" s="16">
        <v>7.99</v>
      </c>
      <c r="T129" s="16">
        <v>4.4999999999999998E-2</v>
      </c>
      <c r="U129" s="111" t="s">
        <v>375</v>
      </c>
    </row>
    <row r="130" spans="1:21" s="3" customFormat="1" ht="18" customHeight="1">
      <c r="A130" s="15">
        <v>128</v>
      </c>
      <c r="B130" s="23" t="s">
        <v>668</v>
      </c>
      <c r="C130" s="24" t="s">
        <v>80</v>
      </c>
      <c r="D130" s="16" t="s">
        <v>463</v>
      </c>
      <c r="E130" s="22" t="s">
        <v>81</v>
      </c>
      <c r="F130" s="19" t="s">
        <v>41</v>
      </c>
      <c r="G130" s="20" t="s">
        <v>464</v>
      </c>
      <c r="H130" s="19" t="s">
        <v>41</v>
      </c>
      <c r="I130" s="16" t="s">
        <v>665</v>
      </c>
      <c r="J130" s="42">
        <v>128</v>
      </c>
      <c r="K130" s="147">
        <v>7.26</v>
      </c>
      <c r="L130" s="39">
        <v>7.26</v>
      </c>
      <c r="M130" s="25">
        <v>1</v>
      </c>
      <c r="N130" s="37">
        <v>0.08</v>
      </c>
      <c r="O130" s="37">
        <f t="shared" si="1"/>
        <v>10.24</v>
      </c>
      <c r="P130" s="308" t="s">
        <v>767</v>
      </c>
      <c r="Q130" s="55">
        <v>1.7000000000000001E-2</v>
      </c>
      <c r="R130" s="16" t="s">
        <v>466</v>
      </c>
      <c r="S130" s="16">
        <v>7.99</v>
      </c>
      <c r="T130" s="16">
        <v>4.4999999999999998E-2</v>
      </c>
      <c r="U130" s="111" t="s">
        <v>375</v>
      </c>
    </row>
    <row r="131" spans="1:21" s="3" customFormat="1" ht="18" customHeight="1">
      <c r="A131" s="15">
        <v>129</v>
      </c>
      <c r="B131" s="23" t="s">
        <v>669</v>
      </c>
      <c r="C131" s="24" t="s">
        <v>80</v>
      </c>
      <c r="D131" s="16" t="s">
        <v>463</v>
      </c>
      <c r="E131" s="22" t="s">
        <v>81</v>
      </c>
      <c r="F131" s="19" t="s">
        <v>41</v>
      </c>
      <c r="G131" s="20" t="s">
        <v>464</v>
      </c>
      <c r="H131" s="19" t="s">
        <v>41</v>
      </c>
      <c r="I131" s="16" t="s">
        <v>665</v>
      </c>
      <c r="J131" s="42">
        <v>128</v>
      </c>
      <c r="K131" s="147">
        <v>7.26</v>
      </c>
      <c r="L131" s="39">
        <v>7.26</v>
      </c>
      <c r="M131" s="25">
        <v>1</v>
      </c>
      <c r="N131" s="37">
        <v>0.08</v>
      </c>
      <c r="O131" s="37">
        <f t="shared" ref="O131:O143" si="2">N131*J131</f>
        <v>10.24</v>
      </c>
      <c r="P131" s="308" t="s">
        <v>767</v>
      </c>
      <c r="Q131" s="55">
        <v>1.7000000000000001E-2</v>
      </c>
      <c r="R131" s="16" t="s">
        <v>466</v>
      </c>
      <c r="S131" s="16">
        <v>7.99</v>
      </c>
      <c r="T131" s="16">
        <v>4.4999999999999998E-2</v>
      </c>
      <c r="U131" s="111" t="s">
        <v>375</v>
      </c>
    </row>
    <row r="132" spans="1:21" s="3" customFormat="1" ht="18" customHeight="1">
      <c r="A132" s="15">
        <v>130</v>
      </c>
      <c r="B132" s="23" t="s">
        <v>670</v>
      </c>
      <c r="C132" s="24" t="s">
        <v>80</v>
      </c>
      <c r="D132" s="16" t="s">
        <v>463</v>
      </c>
      <c r="E132" s="22" t="s">
        <v>81</v>
      </c>
      <c r="F132" s="19" t="s">
        <v>41</v>
      </c>
      <c r="G132" s="20" t="s">
        <v>464</v>
      </c>
      <c r="H132" s="19" t="s">
        <v>41</v>
      </c>
      <c r="I132" s="16" t="s">
        <v>665</v>
      </c>
      <c r="J132" s="42">
        <v>128</v>
      </c>
      <c r="K132" s="147">
        <v>7.26</v>
      </c>
      <c r="L132" s="39">
        <v>7.26</v>
      </c>
      <c r="M132" s="25">
        <v>1</v>
      </c>
      <c r="N132" s="37">
        <v>0.08</v>
      </c>
      <c r="O132" s="37">
        <f t="shared" si="2"/>
        <v>10.24</v>
      </c>
      <c r="P132" s="308" t="s">
        <v>767</v>
      </c>
      <c r="Q132" s="55">
        <v>1.7000000000000001E-2</v>
      </c>
      <c r="R132" s="16" t="s">
        <v>466</v>
      </c>
      <c r="S132" s="16">
        <v>7.99</v>
      </c>
      <c r="T132" s="16">
        <v>4.4999999999999998E-2</v>
      </c>
      <c r="U132" s="111" t="s">
        <v>375</v>
      </c>
    </row>
    <row r="133" spans="1:21" s="3" customFormat="1" ht="18" customHeight="1">
      <c r="A133" s="15">
        <v>131</v>
      </c>
      <c r="B133" s="23" t="s">
        <v>671</v>
      </c>
      <c r="C133" s="24" t="s">
        <v>80</v>
      </c>
      <c r="D133" s="16" t="s">
        <v>463</v>
      </c>
      <c r="E133" s="22" t="s">
        <v>81</v>
      </c>
      <c r="F133" s="19" t="s">
        <v>41</v>
      </c>
      <c r="G133" s="20" t="s">
        <v>464</v>
      </c>
      <c r="H133" s="19" t="s">
        <v>41</v>
      </c>
      <c r="I133" s="16" t="s">
        <v>665</v>
      </c>
      <c r="J133" s="42">
        <v>128</v>
      </c>
      <c r="K133" s="147">
        <v>7.26</v>
      </c>
      <c r="L133" s="39">
        <v>7.26</v>
      </c>
      <c r="M133" s="25">
        <v>1</v>
      </c>
      <c r="N133" s="37">
        <v>0.08</v>
      </c>
      <c r="O133" s="37">
        <f t="shared" si="2"/>
        <v>10.24</v>
      </c>
      <c r="P133" s="308" t="s">
        <v>767</v>
      </c>
      <c r="Q133" s="55">
        <v>1.7000000000000001E-2</v>
      </c>
      <c r="R133" s="16" t="s">
        <v>466</v>
      </c>
      <c r="S133" s="16">
        <v>7.99</v>
      </c>
      <c r="T133" s="16">
        <v>4.4999999999999998E-2</v>
      </c>
      <c r="U133" s="111" t="s">
        <v>375</v>
      </c>
    </row>
    <row r="134" spans="1:21" s="3" customFormat="1" ht="18" customHeight="1">
      <c r="A134" s="15">
        <v>132</v>
      </c>
      <c r="B134" s="23" t="s">
        <v>672</v>
      </c>
      <c r="C134" s="24" t="s">
        <v>383</v>
      </c>
      <c r="D134" s="148" t="s">
        <v>673</v>
      </c>
      <c r="E134" s="149" t="s">
        <v>384</v>
      </c>
      <c r="F134" s="150" t="s">
        <v>41</v>
      </c>
      <c r="G134" s="149" t="s">
        <v>674</v>
      </c>
      <c r="H134" s="150" t="s">
        <v>41</v>
      </c>
      <c r="I134" s="148" t="s">
        <v>675</v>
      </c>
      <c r="J134" s="148">
        <v>200</v>
      </c>
      <c r="K134" s="147">
        <v>21.5</v>
      </c>
      <c r="L134" s="34">
        <v>19.100000000000001</v>
      </c>
      <c r="M134" s="25">
        <v>1</v>
      </c>
      <c r="N134" s="37">
        <v>0.11</v>
      </c>
      <c r="O134" s="37">
        <f t="shared" si="2"/>
        <v>22</v>
      </c>
      <c r="P134" s="308" t="s">
        <v>796</v>
      </c>
      <c r="Q134" s="55">
        <v>1.7000000000000001E-2</v>
      </c>
      <c r="R134" s="131" t="s">
        <v>676</v>
      </c>
      <c r="S134" s="132">
        <v>17.989999999999998</v>
      </c>
      <c r="T134" s="132">
        <v>0.1</v>
      </c>
      <c r="U134" s="133" t="s">
        <v>387</v>
      </c>
    </row>
    <row r="135" spans="1:21" s="3" customFormat="1" ht="18" customHeight="1">
      <c r="A135" s="15">
        <v>133</v>
      </c>
      <c r="B135" s="23" t="s">
        <v>677</v>
      </c>
      <c r="C135" s="24" t="s">
        <v>383</v>
      </c>
      <c r="D135" s="148" t="s">
        <v>673</v>
      </c>
      <c r="E135" s="149" t="s">
        <v>384</v>
      </c>
      <c r="F135" s="150" t="s">
        <v>41</v>
      </c>
      <c r="G135" s="149" t="s">
        <v>674</v>
      </c>
      <c r="H135" s="150" t="s">
        <v>41</v>
      </c>
      <c r="I135" s="148" t="s">
        <v>675</v>
      </c>
      <c r="J135" s="148">
        <v>200</v>
      </c>
      <c r="K135" s="147">
        <v>21.5</v>
      </c>
      <c r="L135" s="34">
        <v>19.100000000000001</v>
      </c>
      <c r="M135" s="25">
        <v>1</v>
      </c>
      <c r="N135" s="37">
        <v>0.11</v>
      </c>
      <c r="O135" s="37">
        <f t="shared" si="2"/>
        <v>22</v>
      </c>
      <c r="P135" s="308" t="s">
        <v>796</v>
      </c>
      <c r="Q135" s="55">
        <v>1.7000000000000001E-2</v>
      </c>
      <c r="R135" s="131" t="s">
        <v>676</v>
      </c>
      <c r="S135" s="132">
        <v>17.989999999999998</v>
      </c>
      <c r="T135" s="132">
        <v>0.1</v>
      </c>
      <c r="U135" s="133" t="s">
        <v>387</v>
      </c>
    </row>
    <row r="136" spans="1:21" s="3" customFormat="1" ht="18" customHeight="1">
      <c r="A136" s="15">
        <v>134</v>
      </c>
      <c r="B136" s="15" t="s">
        <v>678</v>
      </c>
      <c r="C136" s="24" t="s">
        <v>390</v>
      </c>
      <c r="D136" s="16" t="s">
        <v>679</v>
      </c>
      <c r="E136" s="22" t="s">
        <v>391</v>
      </c>
      <c r="F136" s="16" t="s">
        <v>392</v>
      </c>
      <c r="G136" s="16" t="s">
        <v>680</v>
      </c>
      <c r="H136" s="16" t="s">
        <v>392</v>
      </c>
      <c r="I136" s="26" t="s">
        <v>681</v>
      </c>
      <c r="J136" s="16">
        <v>50</v>
      </c>
      <c r="K136" s="147">
        <v>19.5</v>
      </c>
      <c r="L136" s="39">
        <v>19.5</v>
      </c>
      <c r="M136" s="25">
        <v>1</v>
      </c>
      <c r="N136" s="37">
        <v>0.25</v>
      </c>
      <c r="O136" s="37">
        <f t="shared" si="2"/>
        <v>12.5</v>
      </c>
      <c r="P136" s="308" t="s">
        <v>782</v>
      </c>
      <c r="Q136" s="55">
        <v>3.6999999999999998E-2</v>
      </c>
      <c r="R136" s="103" t="s">
        <v>682</v>
      </c>
      <c r="S136" s="103">
        <v>14.99</v>
      </c>
      <c r="T136" s="103">
        <v>0.36</v>
      </c>
      <c r="U136" s="134" t="s">
        <v>395</v>
      </c>
    </row>
    <row r="137" spans="1:21" s="3" customFormat="1" ht="18" customHeight="1">
      <c r="A137" s="15">
        <v>135</v>
      </c>
      <c r="B137" s="15" t="s">
        <v>683</v>
      </c>
      <c r="C137" s="24" t="s">
        <v>390</v>
      </c>
      <c r="D137" s="16" t="s">
        <v>679</v>
      </c>
      <c r="E137" s="22" t="s">
        <v>391</v>
      </c>
      <c r="F137" s="16" t="s">
        <v>392</v>
      </c>
      <c r="G137" s="16" t="s">
        <v>680</v>
      </c>
      <c r="H137" s="16" t="s">
        <v>392</v>
      </c>
      <c r="I137" s="26" t="s">
        <v>681</v>
      </c>
      <c r="J137" s="16">
        <v>50</v>
      </c>
      <c r="K137" s="147">
        <v>19.5</v>
      </c>
      <c r="L137" s="39">
        <v>19.5</v>
      </c>
      <c r="M137" s="25">
        <v>1</v>
      </c>
      <c r="N137" s="37">
        <v>0.25</v>
      </c>
      <c r="O137" s="37">
        <f t="shared" si="2"/>
        <v>12.5</v>
      </c>
      <c r="P137" s="308" t="s">
        <v>782</v>
      </c>
      <c r="Q137" s="55">
        <v>3.6999999999999998E-2</v>
      </c>
      <c r="R137" s="103" t="s">
        <v>682</v>
      </c>
      <c r="S137" s="103">
        <v>14.99</v>
      </c>
      <c r="T137" s="103">
        <v>0.36</v>
      </c>
      <c r="U137" s="135" t="s">
        <v>395</v>
      </c>
    </row>
    <row r="138" spans="1:21" s="3" customFormat="1" ht="18" customHeight="1">
      <c r="A138" s="15">
        <v>136</v>
      </c>
      <c r="B138" s="15" t="s">
        <v>684</v>
      </c>
      <c r="C138" s="24" t="s">
        <v>390</v>
      </c>
      <c r="D138" s="16" t="s">
        <v>679</v>
      </c>
      <c r="E138" s="22" t="s">
        <v>391</v>
      </c>
      <c r="F138" s="16" t="s">
        <v>392</v>
      </c>
      <c r="G138" s="16" t="s">
        <v>680</v>
      </c>
      <c r="H138" s="16" t="s">
        <v>392</v>
      </c>
      <c r="I138" s="26" t="s">
        <v>681</v>
      </c>
      <c r="J138" s="16">
        <v>45</v>
      </c>
      <c r="K138" s="147">
        <v>17.7</v>
      </c>
      <c r="L138" s="39">
        <v>17.7</v>
      </c>
      <c r="M138" s="25">
        <v>1</v>
      </c>
      <c r="N138" s="37">
        <v>0.25</v>
      </c>
      <c r="O138" s="37">
        <f t="shared" si="2"/>
        <v>11.25</v>
      </c>
      <c r="P138" s="308" t="s">
        <v>782</v>
      </c>
      <c r="Q138" s="55">
        <v>3.6999999999999998E-2</v>
      </c>
      <c r="R138" s="103" t="s">
        <v>682</v>
      </c>
      <c r="S138" s="103">
        <v>14.99</v>
      </c>
      <c r="T138" s="103">
        <v>0.36</v>
      </c>
      <c r="U138" s="135" t="s">
        <v>398</v>
      </c>
    </row>
    <row r="139" spans="1:21" s="3" customFormat="1" ht="18" customHeight="1">
      <c r="A139" s="15">
        <v>137</v>
      </c>
      <c r="B139" s="15" t="s">
        <v>685</v>
      </c>
      <c r="C139" s="24" t="s">
        <v>390</v>
      </c>
      <c r="D139" s="16" t="s">
        <v>679</v>
      </c>
      <c r="E139" s="22" t="s">
        <v>391</v>
      </c>
      <c r="F139" s="16" t="s">
        <v>392</v>
      </c>
      <c r="G139" s="16" t="s">
        <v>680</v>
      </c>
      <c r="H139" s="16" t="s">
        <v>392</v>
      </c>
      <c r="I139" s="26" t="s">
        <v>681</v>
      </c>
      <c r="J139" s="16">
        <v>45</v>
      </c>
      <c r="K139" s="147">
        <v>17.7</v>
      </c>
      <c r="L139" s="39">
        <v>17.7</v>
      </c>
      <c r="M139" s="25">
        <v>1</v>
      </c>
      <c r="N139" s="37">
        <v>0.25</v>
      </c>
      <c r="O139" s="37">
        <f t="shared" si="2"/>
        <v>11.25</v>
      </c>
      <c r="P139" s="308" t="s">
        <v>782</v>
      </c>
      <c r="Q139" s="55">
        <v>3.6999999999999998E-2</v>
      </c>
      <c r="R139" s="103" t="s">
        <v>682</v>
      </c>
      <c r="S139" s="103">
        <v>14.99</v>
      </c>
      <c r="T139" s="103">
        <v>0.36</v>
      </c>
      <c r="U139" s="135" t="s">
        <v>398</v>
      </c>
    </row>
    <row r="140" spans="1:21" s="3" customFormat="1" ht="18" customHeight="1">
      <c r="A140" s="15">
        <v>138</v>
      </c>
      <c r="B140" s="15" t="s">
        <v>686</v>
      </c>
      <c r="C140" s="24" t="s">
        <v>390</v>
      </c>
      <c r="D140" s="16" t="s">
        <v>679</v>
      </c>
      <c r="E140" s="22" t="s">
        <v>391</v>
      </c>
      <c r="F140" s="16" t="s">
        <v>392</v>
      </c>
      <c r="G140" s="16" t="s">
        <v>680</v>
      </c>
      <c r="H140" s="16" t="s">
        <v>392</v>
      </c>
      <c r="I140" s="26" t="s">
        <v>681</v>
      </c>
      <c r="J140" s="16">
        <v>45</v>
      </c>
      <c r="K140" s="147">
        <v>17.7</v>
      </c>
      <c r="L140" s="39">
        <v>17.7</v>
      </c>
      <c r="M140" s="25">
        <v>1</v>
      </c>
      <c r="N140" s="37">
        <v>0.25</v>
      </c>
      <c r="O140" s="37">
        <f t="shared" si="2"/>
        <v>11.25</v>
      </c>
      <c r="P140" s="308" t="s">
        <v>782</v>
      </c>
      <c r="Q140" s="55">
        <v>3.6999999999999998E-2</v>
      </c>
      <c r="R140" s="103" t="s">
        <v>682</v>
      </c>
      <c r="S140" s="103">
        <v>14.99</v>
      </c>
      <c r="T140" s="103">
        <v>0.36</v>
      </c>
      <c r="U140" s="135" t="s">
        <v>401</v>
      </c>
    </row>
    <row r="141" spans="1:21" s="3" customFormat="1" ht="18" customHeight="1">
      <c r="A141" s="15">
        <v>139</v>
      </c>
      <c r="B141" s="15" t="s">
        <v>687</v>
      </c>
      <c r="C141" s="24" t="s">
        <v>390</v>
      </c>
      <c r="D141" s="16" t="s">
        <v>679</v>
      </c>
      <c r="E141" s="22" t="s">
        <v>391</v>
      </c>
      <c r="F141" s="16" t="s">
        <v>392</v>
      </c>
      <c r="G141" s="16" t="s">
        <v>680</v>
      </c>
      <c r="H141" s="16" t="s">
        <v>392</v>
      </c>
      <c r="I141" s="26" t="s">
        <v>681</v>
      </c>
      <c r="J141" s="16">
        <v>45</v>
      </c>
      <c r="K141" s="147">
        <v>17.7</v>
      </c>
      <c r="L141" s="39">
        <v>17.7</v>
      </c>
      <c r="M141" s="25">
        <v>1</v>
      </c>
      <c r="N141" s="37">
        <v>0.25</v>
      </c>
      <c r="O141" s="37">
        <f t="shared" si="2"/>
        <v>11.25</v>
      </c>
      <c r="P141" s="308" t="s">
        <v>782</v>
      </c>
      <c r="Q141" s="55">
        <v>3.6999999999999998E-2</v>
      </c>
      <c r="R141" s="103" t="s">
        <v>682</v>
      </c>
      <c r="S141" s="103">
        <v>14.99</v>
      </c>
      <c r="T141" s="103">
        <v>0.36</v>
      </c>
      <c r="U141" s="135" t="s">
        <v>401</v>
      </c>
    </row>
    <row r="142" spans="1:21" s="3" customFormat="1" ht="18" customHeight="1">
      <c r="A142" s="15">
        <v>140</v>
      </c>
      <c r="B142" s="15" t="s">
        <v>688</v>
      </c>
      <c r="C142" s="24" t="s">
        <v>390</v>
      </c>
      <c r="D142" s="16" t="s">
        <v>679</v>
      </c>
      <c r="E142" s="22" t="s">
        <v>391</v>
      </c>
      <c r="F142" s="16" t="s">
        <v>392</v>
      </c>
      <c r="G142" s="16" t="s">
        <v>680</v>
      </c>
      <c r="H142" s="16" t="s">
        <v>392</v>
      </c>
      <c r="I142" s="26" t="s">
        <v>681</v>
      </c>
      <c r="J142" s="16">
        <v>45</v>
      </c>
      <c r="K142" s="147">
        <v>17.7</v>
      </c>
      <c r="L142" s="39">
        <v>17.7</v>
      </c>
      <c r="M142" s="25">
        <v>1</v>
      </c>
      <c r="N142" s="37">
        <v>0.25</v>
      </c>
      <c r="O142" s="37">
        <f t="shared" si="2"/>
        <v>11.25</v>
      </c>
      <c r="P142" s="308" t="s">
        <v>782</v>
      </c>
      <c r="Q142" s="55">
        <v>3.6999999999999998E-2</v>
      </c>
      <c r="R142" s="103" t="s">
        <v>682</v>
      </c>
      <c r="S142" s="103">
        <v>14.99</v>
      </c>
      <c r="T142" s="103">
        <v>0.36</v>
      </c>
      <c r="U142" s="135" t="s">
        <v>404</v>
      </c>
    </row>
    <row r="143" spans="1:21" s="3" customFormat="1" ht="18" customHeight="1">
      <c r="A143" s="15">
        <v>141</v>
      </c>
      <c r="B143" s="15" t="s">
        <v>689</v>
      </c>
      <c r="C143" s="24" t="s">
        <v>390</v>
      </c>
      <c r="D143" s="16" t="s">
        <v>679</v>
      </c>
      <c r="E143" s="22" t="s">
        <v>391</v>
      </c>
      <c r="F143" s="16" t="s">
        <v>392</v>
      </c>
      <c r="G143" s="16" t="s">
        <v>680</v>
      </c>
      <c r="H143" s="16" t="s">
        <v>392</v>
      </c>
      <c r="I143" s="26" t="s">
        <v>681</v>
      </c>
      <c r="J143" s="16">
        <v>45</v>
      </c>
      <c r="K143" s="147">
        <v>17.7</v>
      </c>
      <c r="L143" s="39">
        <v>17.7</v>
      </c>
      <c r="M143" s="25">
        <v>1</v>
      </c>
      <c r="N143" s="37">
        <v>0.25</v>
      </c>
      <c r="O143" s="37">
        <f t="shared" si="2"/>
        <v>11.25</v>
      </c>
      <c r="P143" s="308" t="s">
        <v>782</v>
      </c>
      <c r="Q143" s="55">
        <v>3.6999999999999998E-2</v>
      </c>
      <c r="R143" s="103" t="s">
        <v>682</v>
      </c>
      <c r="S143" s="103">
        <v>14.99</v>
      </c>
      <c r="T143" s="103">
        <v>0.36</v>
      </c>
      <c r="U143" s="135" t="s">
        <v>404</v>
      </c>
    </row>
    <row r="144" spans="1:21" s="3" customFormat="1" ht="18" customHeight="1">
      <c r="A144" s="74"/>
      <c r="B144" s="113" t="s">
        <v>406</v>
      </c>
      <c r="C144" s="113"/>
      <c r="D144" s="16"/>
      <c r="E144" s="113"/>
      <c r="F144" s="113"/>
      <c r="G144" s="113"/>
      <c r="H144" s="114"/>
      <c r="I144" s="121"/>
      <c r="J144" s="122">
        <f t="shared" ref="J144" si="3">SUM(J3:J143)</f>
        <v>6079</v>
      </c>
      <c r="K144" s="123">
        <v>1478.77</v>
      </c>
      <c r="L144" s="123">
        <f>SUM(L3:L143)</f>
        <v>1474.0000000000007</v>
      </c>
      <c r="M144" s="113">
        <f>SUM(M3:M143)</f>
        <v>89</v>
      </c>
      <c r="N144" s="125"/>
      <c r="O144" s="125">
        <f>SUM(O3:O143)</f>
        <v>2456.4699999999975</v>
      </c>
      <c r="P144" s="136" t="s">
        <v>763</v>
      </c>
      <c r="Q144" s="137"/>
      <c r="R144" s="138"/>
      <c r="S144" s="138"/>
      <c r="T144" s="138"/>
      <c r="U144" s="139"/>
    </row>
    <row r="145" spans="1:21" s="3" customFormat="1" ht="18" customHeight="1">
      <c r="A145" s="4"/>
      <c r="K145" s="3" t="s">
        <v>699</v>
      </c>
      <c r="L145" s="3">
        <v>1474</v>
      </c>
      <c r="N145" s="6"/>
      <c r="O145" s="6"/>
      <c r="P145" s="3" t="s">
        <v>763</v>
      </c>
      <c r="Q145" s="7"/>
      <c r="R145" s="8"/>
      <c r="S145" s="8"/>
      <c r="T145" s="8"/>
    </row>
    <row r="146" spans="1:21" s="3" customFormat="1" ht="18" customHeight="1">
      <c r="A146" s="4"/>
      <c r="N146" s="6"/>
      <c r="O146" s="6"/>
      <c r="Q146" s="7"/>
      <c r="R146" s="8"/>
      <c r="S146" s="8"/>
      <c r="T146" s="8"/>
    </row>
    <row r="147" spans="1:21" s="3" customFormat="1" ht="18" customHeight="1">
      <c r="A147" s="4"/>
      <c r="I147" s="5"/>
      <c r="N147" s="6"/>
      <c r="O147" s="6"/>
      <c r="Q147" s="7"/>
      <c r="R147" s="8"/>
      <c r="S147" s="8"/>
      <c r="T147" s="8"/>
    </row>
    <row r="148" spans="1:21" s="2" customFormat="1" ht="18" customHeight="1">
      <c r="A148" s="115"/>
      <c r="C148" s="116"/>
      <c r="D148" s="117"/>
      <c r="I148" s="127"/>
      <c r="L148" s="3"/>
      <c r="N148" s="129"/>
      <c r="O148" s="129"/>
      <c r="Q148" s="140"/>
      <c r="R148" s="141"/>
      <c r="S148" s="141"/>
      <c r="T148" s="141"/>
      <c r="U148" s="127"/>
    </row>
    <row r="149" spans="1:21" s="3" customFormat="1" ht="18" customHeight="1">
      <c r="A149" s="4"/>
      <c r="D149" s="117"/>
      <c r="I149" s="5"/>
      <c r="N149" s="6"/>
      <c r="O149" s="6"/>
      <c r="Q149" s="7"/>
      <c r="R149" s="8"/>
      <c r="S149" s="8"/>
      <c r="T149" s="8"/>
    </row>
    <row r="150" spans="1:21" s="3" customFormat="1" ht="18" customHeight="1">
      <c r="A150" s="4"/>
      <c r="I150" s="5"/>
      <c r="N150" s="6"/>
      <c r="O150" s="6"/>
      <c r="Q150" s="7"/>
      <c r="R150" s="8"/>
      <c r="S150" s="8"/>
      <c r="T150" s="8"/>
    </row>
    <row r="151" spans="1:21" s="3" customFormat="1" ht="18" customHeight="1">
      <c r="A151" s="4"/>
      <c r="D151" s="117" t="s">
        <v>700</v>
      </c>
      <c r="I151" s="5"/>
      <c r="N151" s="6"/>
      <c r="O151" s="6"/>
      <c r="Q151" s="7"/>
      <c r="R151" s="8"/>
      <c r="S151" s="8"/>
      <c r="T151" s="8"/>
    </row>
    <row r="152" spans="1:21" s="3" customFormat="1" ht="18" customHeight="1">
      <c r="A152" s="4"/>
      <c r="I152" s="5"/>
      <c r="N152" s="6"/>
      <c r="O152" s="6"/>
      <c r="Q152" s="7"/>
      <c r="R152" s="8"/>
      <c r="S152" s="8"/>
      <c r="T152" s="8"/>
    </row>
    <row r="153" spans="1:21" s="3" customFormat="1" ht="18" customHeight="1">
      <c r="A153" s="4"/>
      <c r="I153" s="5"/>
      <c r="N153" s="6"/>
      <c r="O153" s="6"/>
      <c r="Q153" s="7"/>
      <c r="R153" s="8"/>
      <c r="S153" s="8"/>
      <c r="T153" s="8"/>
    </row>
    <row r="154" spans="1:21" s="3" customFormat="1" ht="18" customHeight="1">
      <c r="A154" s="4"/>
      <c r="D154" s="117" t="s">
        <v>701</v>
      </c>
      <c r="I154" s="5"/>
      <c r="N154" s="6"/>
      <c r="O154" s="6"/>
      <c r="Q154" s="7"/>
      <c r="R154" s="8"/>
      <c r="S154" s="8"/>
      <c r="T154" s="8"/>
    </row>
    <row r="155" spans="1:21" s="3" customFormat="1" ht="18" customHeight="1">
      <c r="A155" s="4"/>
      <c r="D155" s="3" t="s">
        <v>702</v>
      </c>
      <c r="E155" s="117" t="s">
        <v>703</v>
      </c>
      <c r="I155" s="5"/>
      <c r="N155" s="6"/>
      <c r="O155" s="6"/>
      <c r="Q155" s="7"/>
      <c r="R155" s="8"/>
      <c r="S155" s="8"/>
      <c r="T155" s="8"/>
    </row>
    <row r="156" spans="1:21" s="3" customFormat="1" ht="18" customHeight="1">
      <c r="A156" s="4"/>
      <c r="D156" s="3" t="s">
        <v>704</v>
      </c>
      <c r="E156" s="117" t="s">
        <v>705</v>
      </c>
      <c r="I156" s="5"/>
      <c r="N156" s="6"/>
      <c r="O156" s="6"/>
      <c r="Q156" s="7"/>
      <c r="R156" s="8"/>
      <c r="S156" s="8"/>
      <c r="T156" s="8"/>
    </row>
    <row r="157" spans="1:21" s="3" customFormat="1" ht="18" customHeight="1">
      <c r="A157" s="4"/>
      <c r="D157" s="3" t="s">
        <v>706</v>
      </c>
      <c r="E157" s="117" t="s">
        <v>707</v>
      </c>
      <c r="I157" s="5"/>
      <c r="N157" s="6"/>
      <c r="O157" s="6"/>
      <c r="Q157" s="7"/>
      <c r="R157" s="8"/>
      <c r="S157" s="8"/>
      <c r="T157" s="8"/>
    </row>
    <row r="158" spans="1:21" s="3" customFormat="1" ht="18" customHeight="1">
      <c r="A158" s="4"/>
      <c r="D158" s="117" t="s">
        <v>708</v>
      </c>
      <c r="I158" s="5"/>
      <c r="N158" s="6"/>
      <c r="O158" s="6"/>
      <c r="Q158" s="7"/>
      <c r="R158" s="8"/>
      <c r="S158" s="8"/>
      <c r="T158" s="8"/>
    </row>
    <row r="159" spans="1:21" s="3" customFormat="1" ht="18" customHeight="1">
      <c r="A159" s="4"/>
      <c r="I159" s="5"/>
      <c r="N159" s="6"/>
      <c r="O159" s="6"/>
      <c r="Q159" s="7"/>
      <c r="R159" s="8"/>
      <c r="S159" s="8"/>
      <c r="T159" s="8"/>
    </row>
    <row r="160" spans="1:21" s="3" customFormat="1" ht="18" customHeight="1">
      <c r="A160" s="4"/>
      <c r="D160" s="117" t="s">
        <v>709</v>
      </c>
      <c r="I160" s="5"/>
      <c r="N160" s="6"/>
      <c r="O160" s="6"/>
      <c r="Q160" s="7"/>
      <c r="R160" s="8"/>
      <c r="S160" s="8"/>
      <c r="T160" s="8"/>
    </row>
    <row r="161" spans="1:20" s="3" customFormat="1" ht="18" customHeight="1">
      <c r="A161" s="4"/>
      <c r="I161" s="5"/>
      <c r="N161" s="6"/>
      <c r="O161" s="6"/>
      <c r="Q161" s="7"/>
      <c r="R161" s="8"/>
      <c r="S161" s="8"/>
      <c r="T161" s="8"/>
    </row>
    <row r="162" spans="1:20" s="3" customFormat="1" ht="18" customHeight="1">
      <c r="A162" s="4"/>
      <c r="I162" s="5"/>
      <c r="N162" s="6"/>
      <c r="O162" s="6"/>
      <c r="Q162" s="7"/>
      <c r="R162" s="8"/>
      <c r="S162" s="8"/>
      <c r="T162" s="8"/>
    </row>
    <row r="163" spans="1:20" s="3" customFormat="1" ht="18" customHeight="1">
      <c r="A163" s="4"/>
      <c r="I163" s="5"/>
      <c r="N163" s="6"/>
      <c r="O163" s="6"/>
      <c r="Q163" s="7"/>
      <c r="R163" s="8"/>
      <c r="S163" s="8"/>
      <c r="T163" s="8"/>
    </row>
    <row r="164" spans="1:20" s="3" customFormat="1" ht="18" customHeight="1">
      <c r="A164" s="4"/>
      <c r="I164" s="5"/>
      <c r="N164" s="6"/>
      <c r="O164" s="6"/>
      <c r="Q164" s="7"/>
      <c r="R164" s="8"/>
      <c r="S164" s="8"/>
      <c r="T164" s="8"/>
    </row>
    <row r="165" spans="1:20" s="3" customFormat="1" ht="18" customHeight="1">
      <c r="A165" s="4"/>
      <c r="I165" s="5"/>
      <c r="N165" s="6"/>
      <c r="O165" s="6"/>
      <c r="Q165" s="7"/>
      <c r="R165" s="8"/>
      <c r="S165" s="8"/>
      <c r="T165" s="8"/>
    </row>
    <row r="166" spans="1:20" s="3" customFormat="1" ht="18" customHeight="1">
      <c r="A166" s="4"/>
      <c r="I166" s="5"/>
      <c r="N166" s="6"/>
      <c r="O166" s="6"/>
      <c r="Q166" s="7"/>
      <c r="R166" s="8"/>
      <c r="S166" s="8"/>
      <c r="T166" s="8"/>
    </row>
    <row r="167" spans="1:20" s="3" customFormat="1" ht="18" customHeight="1">
      <c r="A167" s="4"/>
      <c r="I167" s="5"/>
      <c r="N167" s="6"/>
      <c r="O167" s="6"/>
      <c r="Q167" s="7"/>
      <c r="R167" s="8"/>
      <c r="S167" s="8"/>
      <c r="T167" s="8"/>
    </row>
    <row r="168" spans="1:20" s="3" customFormat="1" ht="18" customHeight="1">
      <c r="A168" s="4"/>
      <c r="I168" s="5"/>
      <c r="N168" s="6"/>
      <c r="O168" s="6"/>
      <c r="Q168" s="7"/>
      <c r="R168" s="8"/>
      <c r="S168" s="8"/>
      <c r="T168" s="8"/>
    </row>
    <row r="169" spans="1:20" s="3" customFormat="1" ht="18" customHeight="1">
      <c r="A169" s="4"/>
      <c r="I169" s="5"/>
      <c r="N169" s="6"/>
      <c r="O169" s="6"/>
      <c r="Q169" s="7"/>
      <c r="R169" s="8"/>
      <c r="S169" s="8"/>
      <c r="T169" s="8"/>
    </row>
    <row r="170" spans="1:20" s="3" customFormat="1" ht="18" customHeight="1">
      <c r="A170" s="4"/>
      <c r="I170" s="5"/>
      <c r="N170" s="6"/>
      <c r="O170" s="6"/>
      <c r="Q170" s="7"/>
      <c r="R170" s="8"/>
      <c r="S170" s="8"/>
      <c r="T170" s="8"/>
    </row>
    <row r="171" spans="1:20" s="3" customFormat="1" ht="18" customHeight="1">
      <c r="A171" s="4"/>
      <c r="I171" s="5"/>
      <c r="N171" s="6"/>
      <c r="O171" s="6"/>
      <c r="Q171" s="7"/>
      <c r="R171" s="8"/>
      <c r="S171" s="8"/>
      <c r="T171" s="8"/>
    </row>
    <row r="172" spans="1:20" s="3" customFormat="1" ht="18" customHeight="1">
      <c r="A172" s="4"/>
      <c r="I172" s="5"/>
      <c r="N172" s="6"/>
      <c r="O172" s="6"/>
      <c r="Q172" s="7"/>
      <c r="R172" s="8"/>
      <c r="S172" s="8"/>
      <c r="T172" s="8"/>
    </row>
    <row r="173" spans="1:20" s="3" customFormat="1" ht="18" customHeight="1">
      <c r="A173" s="4"/>
      <c r="I173" s="5"/>
      <c r="N173" s="6"/>
      <c r="O173" s="6"/>
      <c r="Q173" s="7"/>
      <c r="R173" s="8"/>
      <c r="S173" s="8"/>
      <c r="T173" s="8"/>
    </row>
    <row r="174" spans="1:20" s="3" customFormat="1" ht="18" customHeight="1">
      <c r="A174" s="4"/>
      <c r="I174" s="5"/>
      <c r="N174" s="6"/>
      <c r="O174" s="6"/>
      <c r="Q174" s="7"/>
      <c r="R174" s="8"/>
      <c r="S174" s="8"/>
      <c r="T174" s="8"/>
    </row>
    <row r="175" spans="1:20" s="3" customFormat="1" ht="18" customHeight="1">
      <c r="A175" s="4"/>
      <c r="I175" s="5"/>
      <c r="N175" s="6"/>
      <c r="O175" s="6"/>
      <c r="Q175" s="7"/>
      <c r="R175" s="8"/>
      <c r="S175" s="8"/>
      <c r="T175" s="8"/>
    </row>
    <row r="176" spans="1:20" s="3" customFormat="1" ht="18" customHeight="1">
      <c r="A176" s="4"/>
      <c r="I176" s="5"/>
      <c r="N176" s="6"/>
      <c r="O176" s="6"/>
      <c r="Q176" s="7"/>
      <c r="R176" s="8"/>
      <c r="S176" s="8"/>
      <c r="T176" s="8"/>
    </row>
    <row r="177" spans="1:20" s="3" customFormat="1" ht="18" customHeight="1">
      <c r="A177" s="4"/>
      <c r="I177" s="5"/>
      <c r="N177" s="6"/>
      <c r="O177" s="6"/>
      <c r="Q177" s="7"/>
      <c r="R177" s="8"/>
      <c r="S177" s="8"/>
      <c r="T177" s="8"/>
    </row>
    <row r="178" spans="1:20" s="3" customFormat="1" ht="18" customHeight="1">
      <c r="A178" s="4"/>
      <c r="I178" s="5"/>
      <c r="N178" s="6"/>
      <c r="O178" s="6"/>
      <c r="Q178" s="7"/>
      <c r="R178" s="8"/>
      <c r="S178" s="8"/>
      <c r="T178" s="8"/>
    </row>
    <row r="179" spans="1:20" s="3" customFormat="1" ht="18" customHeight="1">
      <c r="A179" s="4"/>
      <c r="I179" s="5"/>
      <c r="N179" s="6"/>
      <c r="O179" s="6"/>
      <c r="Q179" s="7"/>
      <c r="R179" s="8"/>
      <c r="S179" s="8"/>
      <c r="T179" s="8"/>
    </row>
    <row r="180" spans="1:20" s="3" customFormat="1" ht="18" customHeight="1">
      <c r="A180" s="4"/>
      <c r="I180" s="5"/>
      <c r="N180" s="6"/>
      <c r="O180" s="6"/>
      <c r="Q180" s="7"/>
      <c r="R180" s="8"/>
      <c r="S180" s="8"/>
      <c r="T180" s="8"/>
    </row>
    <row r="181" spans="1:20" s="3" customFormat="1" ht="18" customHeight="1">
      <c r="A181" s="4"/>
      <c r="I181" s="5"/>
      <c r="N181" s="6"/>
      <c r="O181" s="6"/>
      <c r="Q181" s="7"/>
      <c r="R181" s="8"/>
      <c r="S181" s="8"/>
      <c r="T181" s="8"/>
    </row>
    <row r="182" spans="1:20" s="3" customFormat="1" ht="18" customHeight="1">
      <c r="A182" s="4"/>
      <c r="I182" s="5"/>
      <c r="N182" s="6"/>
      <c r="O182" s="6"/>
      <c r="Q182" s="7"/>
      <c r="R182" s="8"/>
      <c r="S182" s="8"/>
      <c r="T182" s="8"/>
    </row>
    <row r="183" spans="1:20" s="3" customFormat="1" ht="18" customHeight="1">
      <c r="A183" s="4"/>
      <c r="I183" s="5"/>
      <c r="N183" s="6"/>
      <c r="O183" s="6"/>
      <c r="Q183" s="7"/>
      <c r="R183" s="8"/>
      <c r="S183" s="8"/>
      <c r="T183" s="8"/>
    </row>
    <row r="184" spans="1:20" s="3" customFormat="1" ht="18" customHeight="1">
      <c r="A184" s="4"/>
      <c r="I184" s="5"/>
      <c r="N184" s="6"/>
      <c r="O184" s="6"/>
      <c r="Q184" s="7"/>
      <c r="R184" s="8"/>
      <c r="S184" s="8"/>
      <c r="T184" s="8"/>
    </row>
    <row r="185" spans="1:20" s="3" customFormat="1" ht="18" customHeight="1">
      <c r="A185" s="4"/>
      <c r="I185" s="5"/>
      <c r="N185" s="6"/>
      <c r="O185" s="6"/>
      <c r="Q185" s="7"/>
      <c r="R185" s="8"/>
      <c r="S185" s="8"/>
      <c r="T185" s="8"/>
    </row>
    <row r="186" spans="1:20" s="3" customFormat="1" ht="18" customHeight="1">
      <c r="A186" s="4"/>
      <c r="I186" s="5"/>
      <c r="N186" s="6"/>
      <c r="O186" s="6"/>
      <c r="Q186" s="7"/>
      <c r="R186" s="8"/>
      <c r="S186" s="8"/>
      <c r="T186" s="8"/>
    </row>
    <row r="187" spans="1:20" s="3" customFormat="1" ht="18" customHeight="1">
      <c r="A187" s="4"/>
      <c r="I187" s="5"/>
      <c r="N187" s="6"/>
      <c r="O187" s="6"/>
      <c r="Q187" s="7"/>
      <c r="R187" s="8"/>
      <c r="S187" s="8"/>
      <c r="T187" s="8"/>
    </row>
    <row r="188" spans="1:20" s="3" customFormat="1" ht="18" customHeight="1">
      <c r="A188" s="4"/>
      <c r="I188" s="5"/>
      <c r="N188" s="6"/>
      <c r="O188" s="6"/>
      <c r="Q188" s="7"/>
      <c r="R188" s="8"/>
      <c r="S188" s="8"/>
      <c r="T188" s="8"/>
    </row>
    <row r="189" spans="1:20" s="3" customFormat="1" ht="18" customHeight="1">
      <c r="A189" s="4"/>
      <c r="I189" s="5"/>
      <c r="N189" s="6"/>
      <c r="O189" s="6"/>
      <c r="Q189" s="7"/>
      <c r="R189" s="8"/>
      <c r="S189" s="8"/>
      <c r="T189" s="8"/>
    </row>
    <row r="190" spans="1:20" s="3" customFormat="1" ht="18" customHeight="1">
      <c r="A190" s="4"/>
      <c r="I190" s="5"/>
      <c r="N190" s="6"/>
      <c r="O190" s="6"/>
      <c r="Q190" s="7"/>
      <c r="R190" s="8"/>
      <c r="S190" s="8"/>
      <c r="T190" s="8"/>
    </row>
    <row r="191" spans="1:20" s="3" customFormat="1" ht="18" customHeight="1">
      <c r="A191" s="4"/>
      <c r="I191" s="5"/>
      <c r="N191" s="6"/>
      <c r="O191" s="6"/>
      <c r="Q191" s="7"/>
      <c r="R191" s="8"/>
      <c r="S191" s="8"/>
      <c r="T191" s="8"/>
    </row>
    <row r="192" spans="1:20" s="3" customFormat="1" ht="18" customHeight="1">
      <c r="A192" s="4"/>
      <c r="I192" s="5"/>
      <c r="N192" s="6"/>
      <c r="O192" s="6"/>
      <c r="Q192" s="7"/>
      <c r="R192" s="8"/>
      <c r="S192" s="8"/>
      <c r="T192" s="8"/>
    </row>
    <row r="193" spans="1:20" s="3" customFormat="1" ht="18" customHeight="1">
      <c r="A193" s="4"/>
      <c r="I193" s="5"/>
      <c r="N193" s="6"/>
      <c r="O193" s="6"/>
      <c r="Q193" s="7"/>
      <c r="R193" s="8"/>
      <c r="S193" s="8"/>
      <c r="T193" s="8"/>
    </row>
    <row r="194" spans="1:20" s="3" customFormat="1" ht="18" customHeight="1">
      <c r="A194" s="4"/>
      <c r="I194" s="5"/>
      <c r="N194" s="6"/>
      <c r="O194" s="6"/>
      <c r="Q194" s="7"/>
      <c r="R194" s="8"/>
      <c r="S194" s="8"/>
      <c r="T194" s="8"/>
    </row>
  </sheetData>
  <mergeCells count="57">
    <mergeCell ref="C1:E1"/>
    <mergeCell ref="B18:B19"/>
    <mergeCell ref="B20:B21"/>
    <mergeCell ref="B22:B23"/>
    <mergeCell ref="B24:B25"/>
    <mergeCell ref="B26:B27"/>
    <mergeCell ref="B28:B29"/>
    <mergeCell ref="B30:B31"/>
    <mergeCell ref="B32:B33"/>
    <mergeCell ref="B34:B35"/>
    <mergeCell ref="B36:B37"/>
    <mergeCell ref="B39:B40"/>
    <mergeCell ref="B41:B42"/>
    <mergeCell ref="B43:B45"/>
    <mergeCell ref="B46:B48"/>
    <mergeCell ref="B49:B51"/>
    <mergeCell ref="B53:B55"/>
    <mergeCell ref="B57:B59"/>
    <mergeCell ref="B64:B66"/>
    <mergeCell ref="B68:B70"/>
    <mergeCell ref="B73:B74"/>
    <mergeCell ref="B75:B78"/>
    <mergeCell ref="B79:B84"/>
    <mergeCell ref="B85:B89"/>
    <mergeCell ref="B90:B91"/>
    <mergeCell ref="B92:B93"/>
    <mergeCell ref="B94:B100"/>
    <mergeCell ref="B101:B105"/>
    <mergeCell ref="B115:B116"/>
    <mergeCell ref="M18:M19"/>
    <mergeCell ref="M20:M21"/>
    <mergeCell ref="M22:M23"/>
    <mergeCell ref="M24:M25"/>
    <mergeCell ref="M26:M27"/>
    <mergeCell ref="M28:M29"/>
    <mergeCell ref="M30:M31"/>
    <mergeCell ref="M32:M33"/>
    <mergeCell ref="M34:M35"/>
    <mergeCell ref="M36:M37"/>
    <mergeCell ref="M39:M40"/>
    <mergeCell ref="M41:M42"/>
    <mergeCell ref="M43:M45"/>
    <mergeCell ref="M46:M48"/>
    <mergeCell ref="M49:M51"/>
    <mergeCell ref="M53:M55"/>
    <mergeCell ref="M57:M59"/>
    <mergeCell ref="M64:M66"/>
    <mergeCell ref="M68:M70"/>
    <mergeCell ref="M73:M74"/>
    <mergeCell ref="M75:M78"/>
    <mergeCell ref="M79:M84"/>
    <mergeCell ref="M115:M116"/>
    <mergeCell ref="M85:M89"/>
    <mergeCell ref="M90:M91"/>
    <mergeCell ref="M92:M93"/>
    <mergeCell ref="M94:M100"/>
    <mergeCell ref="M101:M105"/>
  </mergeCells>
  <conditionalFormatting sqref="D46">
    <cfRule type="duplicateValues" dxfId="2" priority="1" stopIfTrue="1"/>
  </conditionalFormatting>
  <hyperlinks>
    <hyperlink ref="U19" r:id="rId1" xr:uid="{00000000-0004-0000-0300-000000000000}"/>
    <hyperlink ref="U21" r:id="rId2" xr:uid="{00000000-0004-0000-0300-000001000000}"/>
    <hyperlink ref="U23" r:id="rId3" xr:uid="{00000000-0004-0000-0300-000002000000}"/>
    <hyperlink ref="U25" r:id="rId4" xr:uid="{00000000-0004-0000-0300-000003000000}"/>
    <hyperlink ref="U27" r:id="rId5" xr:uid="{00000000-0004-0000-0300-000004000000}"/>
    <hyperlink ref="U29" r:id="rId6" xr:uid="{00000000-0004-0000-0300-000005000000}"/>
    <hyperlink ref="U31" r:id="rId7" xr:uid="{00000000-0004-0000-0300-000006000000}"/>
    <hyperlink ref="U33" r:id="rId8" xr:uid="{00000000-0004-0000-0300-000007000000}"/>
    <hyperlink ref="U35" r:id="rId9" xr:uid="{00000000-0004-0000-0300-000008000000}"/>
    <hyperlink ref="U37" r:id="rId10" xr:uid="{00000000-0004-0000-0300-000009000000}"/>
    <hyperlink ref="U127" r:id="rId11" xr:uid="{00000000-0004-0000-0300-00000A000000}"/>
    <hyperlink ref="U128" r:id="rId12" xr:uid="{00000000-0004-0000-0300-00000B000000}"/>
    <hyperlink ref="U129" r:id="rId13" xr:uid="{00000000-0004-0000-0300-00000C000000}"/>
    <hyperlink ref="U130" r:id="rId14" xr:uid="{00000000-0004-0000-0300-00000D000000}"/>
    <hyperlink ref="U131" r:id="rId15" xr:uid="{00000000-0004-0000-0300-00000E000000}"/>
    <hyperlink ref="U132" r:id="rId16" xr:uid="{00000000-0004-0000-0300-00000F000000}"/>
    <hyperlink ref="U133" r:id="rId17" xr:uid="{00000000-0004-0000-0300-000010000000}"/>
    <hyperlink ref="U134" r:id="rId18" xr:uid="{00000000-0004-0000-0300-000011000000}"/>
    <hyperlink ref="U135" r:id="rId19" xr:uid="{00000000-0004-0000-0300-000012000000}"/>
    <hyperlink ref="U3" r:id="rId20" xr:uid="{00000000-0004-0000-0300-000013000000}"/>
    <hyperlink ref="U106" r:id="rId21" xr:uid="{00000000-0004-0000-0300-000014000000}"/>
    <hyperlink ref="U18" r:id="rId22" xr:uid="{00000000-0004-0000-0300-000015000000}"/>
    <hyperlink ref="U38" r:id="rId23" xr:uid="{00000000-0004-0000-0300-000016000000}"/>
    <hyperlink ref="U47" r:id="rId24" xr:uid="{00000000-0004-0000-0300-000017000000}"/>
    <hyperlink ref="U71" r:id="rId25" xr:uid="{00000000-0004-0000-0300-000018000000}"/>
    <hyperlink ref="U136" r:id="rId26" xr:uid="{00000000-0004-0000-0300-000019000000}"/>
    <hyperlink ref="U124" r:id="rId27" xr:uid="{00000000-0004-0000-0300-00001A000000}"/>
    <hyperlink ref="U121" r:id="rId28" xr:uid="{00000000-0004-0000-0300-00001B000000}"/>
    <hyperlink ref="U116" r:id="rId29" xr:uid="{00000000-0004-0000-0300-00001C000000}"/>
    <hyperlink ref="U111" r:id="rId30" xr:uid="{00000000-0004-0000-0300-00001D000000}"/>
    <hyperlink ref="U115" r:id="rId31" xr:uid="{00000000-0004-0000-0300-00001E000000}"/>
    <hyperlink ref="U48" r:id="rId32" xr:uid="{00000000-0004-0000-0300-00001F000000}"/>
    <hyperlink ref="U52" r:id="rId33" xr:uid="{00000000-0004-0000-0300-000020000000}"/>
    <hyperlink ref="U56" r:id="rId34" display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xr:uid="{00000000-0004-0000-0300-000021000000}"/>
    <hyperlink ref="U40" r:id="rId35" xr:uid="{00000000-0004-0000-0300-000022000000}"/>
    <hyperlink ref="U55" r:id="rId36" xr:uid="{00000000-0004-0000-0300-000023000000}"/>
    <hyperlink ref="U65" r:id="rId37" xr:uid="{00000000-0004-0000-0300-000024000000}"/>
    <hyperlink ref="U100" r:id="rId38" xr:uid="{00000000-0004-0000-0300-000025000000}"/>
    <hyperlink ref="U96" r:id="rId39" xr:uid="{00000000-0004-0000-0300-000026000000}"/>
    <hyperlink ref="U92" r:id="rId40" xr:uid="{00000000-0004-0000-0300-000027000000}"/>
    <hyperlink ref="U78" r:id="rId41" xr:uid="{00000000-0004-0000-0300-000028000000}"/>
    <hyperlink ref="U79" r:id="rId42" xr:uid="{00000000-0004-0000-0300-000029000000}"/>
    <hyperlink ref="U76" r:id="rId43" xr:uid="{00000000-0004-0000-0300-00002A000000}"/>
    <hyperlink ref="U39" r:id="rId44" xr:uid="{00000000-0004-0000-0300-00002B000000}"/>
    <hyperlink ref="U41" r:id="rId45" xr:uid="{00000000-0004-0000-0300-00002C000000}"/>
    <hyperlink ref="U42" r:id="rId46" xr:uid="{00000000-0004-0000-0300-00002D000000}"/>
    <hyperlink ref="U43" r:id="rId47" xr:uid="{00000000-0004-0000-0300-00002E000000}"/>
    <hyperlink ref="U44" r:id="rId48" xr:uid="{00000000-0004-0000-0300-00002F000000}"/>
    <hyperlink ref="U45" r:id="rId49" xr:uid="{00000000-0004-0000-0300-000030000000}"/>
    <hyperlink ref="U46" r:id="rId50" xr:uid="{00000000-0004-0000-0300-000031000000}"/>
    <hyperlink ref="U49" r:id="rId51" xr:uid="{00000000-0004-0000-0300-000032000000}"/>
    <hyperlink ref="U51" r:id="rId52" xr:uid="{00000000-0004-0000-0300-000033000000}"/>
    <hyperlink ref="U53" r:id="rId53" xr:uid="{00000000-0004-0000-0300-000034000000}"/>
    <hyperlink ref="U54" r:id="rId54" xr:uid="{00000000-0004-0000-0300-000035000000}"/>
    <hyperlink ref="U57" r:id="rId55" xr:uid="{00000000-0004-0000-0300-000036000000}"/>
    <hyperlink ref="U59" r:id="rId56" xr:uid="{00000000-0004-0000-0300-000037000000}"/>
    <hyperlink ref="U64" r:id="rId57" xr:uid="{00000000-0004-0000-0300-000038000000}"/>
    <hyperlink ref="U66" r:id="rId58" xr:uid="{00000000-0004-0000-0300-000039000000}"/>
    <hyperlink ref="U69" r:id="rId59" xr:uid="{00000000-0004-0000-0300-00003A000000}"/>
    <hyperlink ref="U74" r:id="rId60" xr:uid="{00000000-0004-0000-0300-00003B000000}"/>
    <hyperlink ref="U80" r:id="rId61" xr:uid="{00000000-0004-0000-0300-00003C000000}"/>
    <hyperlink ref="U81" r:id="rId62" xr:uid="{00000000-0004-0000-0300-00003D000000}"/>
    <hyperlink ref="U82" r:id="rId63" xr:uid="{00000000-0004-0000-0300-00003E000000}"/>
    <hyperlink ref="U84" r:id="rId64" xr:uid="{00000000-0004-0000-0300-00003F000000}"/>
    <hyperlink ref="U85" r:id="rId65" xr:uid="{00000000-0004-0000-0300-000040000000}"/>
    <hyperlink ref="U86" r:id="rId66" xr:uid="{00000000-0004-0000-0300-000041000000}"/>
    <hyperlink ref="U87" r:id="rId67" xr:uid="{00000000-0004-0000-0300-000042000000}"/>
    <hyperlink ref="U88" r:id="rId68" xr:uid="{00000000-0004-0000-0300-000043000000}"/>
    <hyperlink ref="U89" r:id="rId69" xr:uid="{00000000-0004-0000-0300-000044000000}"/>
    <hyperlink ref="U90" r:id="rId70" display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xr:uid="{00000000-0004-0000-0300-000045000000}"/>
    <hyperlink ref="U91" r:id="rId71" xr:uid="{00000000-0004-0000-0300-000046000000}"/>
    <hyperlink ref="U93" r:id="rId72" xr:uid="{00000000-0004-0000-0300-000047000000}"/>
    <hyperlink ref="U95" r:id="rId73" xr:uid="{00000000-0004-0000-0300-000048000000}"/>
    <hyperlink ref="U97" r:id="rId74" xr:uid="{00000000-0004-0000-0300-000049000000}"/>
    <hyperlink ref="U98" r:id="rId75" xr:uid="{00000000-0004-0000-0300-00004A000000}"/>
    <hyperlink ref="U99" r:id="rId76" xr:uid="{00000000-0004-0000-0300-00004B000000}"/>
    <hyperlink ref="U104" r:id="rId77" xr:uid="{00000000-0004-0000-0300-00004C000000}"/>
    <hyperlink ref="U101" r:id="rId78" xr:uid="{00000000-0004-0000-0300-00004D000000}"/>
    <hyperlink ref="U102" r:id="rId79" xr:uid="{00000000-0004-0000-0300-00004E000000}"/>
  </hyperlinks>
  <pageMargins left="0.75" right="0.75" top="1" bottom="1" header="0.51180555555555596" footer="0.51180555555555596"/>
  <pageSetup paperSize="9" orientation="portrait" verticalDpi="0" r:id="rId80"/>
  <drawing r:id="rId8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XFC196"/>
  <sheetViews>
    <sheetView workbookViewId="0">
      <pane xSplit="1" ySplit="2" topLeftCell="K126" activePane="bottomRight" state="frozen"/>
      <selection pane="topRight" activeCell="B1" sqref="B1"/>
      <selection pane="bottomLeft" activeCell="A3" sqref="A3"/>
      <selection pane="bottomRight" activeCell="T145" sqref="T145"/>
    </sheetView>
  </sheetViews>
  <sheetFormatPr defaultColWidth="11.28515625" defaultRowHeight="18" customHeight="1"/>
  <cols>
    <col min="1" max="1" width="4.7109375" style="4" customWidth="1"/>
    <col min="2" max="2" width="6.42578125" style="3" customWidth="1"/>
    <col min="3" max="3" width="21.5703125" style="3" bestFit="1" customWidth="1"/>
    <col min="4" max="4" width="22" style="3" customWidth="1"/>
    <col min="5" max="5" width="13.42578125" style="3" customWidth="1"/>
    <col min="6" max="8" width="4.42578125" style="3" customWidth="1"/>
    <col min="9" max="9" width="4.42578125" style="5" customWidth="1"/>
    <col min="10" max="10" width="9.42578125" style="3" customWidth="1"/>
    <col min="11" max="11" width="11.42578125" style="3" customWidth="1"/>
    <col min="12" max="12" width="18.85546875" style="3" customWidth="1"/>
    <col min="13" max="14" width="19.42578125" style="3" customWidth="1"/>
    <col min="15" max="15" width="6.7109375" style="3" customWidth="1"/>
    <col min="16" max="16" width="8" style="6" customWidth="1"/>
    <col min="17" max="17" width="10.42578125" style="6" customWidth="1"/>
    <col min="18" max="18" width="13" style="3" customWidth="1"/>
    <col min="19" max="19" width="13" style="7" customWidth="1"/>
    <col min="20" max="22" width="13" style="8" customWidth="1"/>
    <col min="23" max="23" width="16.140625" style="9" customWidth="1"/>
    <col min="24" max="16383" width="11.28515625" style="3"/>
  </cols>
  <sheetData>
    <row r="1" spans="1:24" s="2" customFormat="1" ht="18" customHeight="1">
      <c r="A1" s="10"/>
      <c r="B1" s="11" t="s">
        <v>412</v>
      </c>
      <c r="C1" s="354" t="s">
        <v>413</v>
      </c>
      <c r="D1" s="355"/>
      <c r="E1" s="356"/>
      <c r="F1" s="10"/>
      <c r="G1" s="10"/>
      <c r="H1" s="10"/>
      <c r="I1" s="10"/>
      <c r="J1" s="10" t="s">
        <v>414</v>
      </c>
      <c r="K1" s="11"/>
      <c r="L1" s="11"/>
      <c r="M1" s="11"/>
      <c r="N1" s="11"/>
      <c r="O1" s="11" t="s">
        <v>415</v>
      </c>
      <c r="P1" s="31" t="s">
        <v>17</v>
      </c>
      <c r="Q1" s="31" t="s">
        <v>18</v>
      </c>
      <c r="R1" s="46"/>
      <c r="S1" s="47"/>
      <c r="T1" s="48"/>
      <c r="U1" s="48"/>
      <c r="V1" s="48"/>
      <c r="W1" s="46"/>
      <c r="X1" s="49" t="s">
        <v>416</v>
      </c>
    </row>
    <row r="2" spans="1:24" s="2" customFormat="1" ht="18" customHeight="1">
      <c r="A2" s="10"/>
      <c r="B2" s="12" t="s">
        <v>21</v>
      </c>
      <c r="C2" s="13" t="s">
        <v>417</v>
      </c>
      <c r="D2" s="14">
        <v>1</v>
      </c>
      <c r="E2" s="13" t="s">
        <v>418</v>
      </c>
      <c r="F2" s="13" t="s">
        <v>419</v>
      </c>
      <c r="G2" s="13" t="s">
        <v>420</v>
      </c>
      <c r="H2" s="13" t="s">
        <v>421</v>
      </c>
      <c r="I2" s="13" t="s">
        <v>422</v>
      </c>
      <c r="J2" s="10" t="s">
        <v>28</v>
      </c>
      <c r="K2" s="12">
        <v>2</v>
      </c>
      <c r="L2" s="12">
        <v>3</v>
      </c>
      <c r="M2" s="12">
        <v>4</v>
      </c>
      <c r="N2" s="12">
        <v>5</v>
      </c>
      <c r="O2" s="12" t="s">
        <v>31</v>
      </c>
      <c r="P2" s="32" t="s">
        <v>423</v>
      </c>
      <c r="Q2" s="32" t="s">
        <v>797</v>
      </c>
      <c r="R2" s="10">
        <v>6</v>
      </c>
      <c r="S2" s="50">
        <v>7.0000000000000007E-2</v>
      </c>
      <c r="T2" s="51">
        <v>8</v>
      </c>
      <c r="U2" s="51">
        <v>9</v>
      </c>
      <c r="V2" s="51">
        <v>10</v>
      </c>
      <c r="W2" s="52" t="s">
        <v>424</v>
      </c>
    </row>
    <row r="3" spans="1:24" s="3" customFormat="1" ht="18" customHeight="1">
      <c r="A3" s="15">
        <v>1</v>
      </c>
      <c r="B3" s="15" t="s">
        <v>425</v>
      </c>
      <c r="C3" s="16" t="s">
        <v>39</v>
      </c>
      <c r="D3" s="17" t="s">
        <v>426</v>
      </c>
      <c r="E3" s="18" t="s">
        <v>40</v>
      </c>
      <c r="F3" s="19" t="s">
        <v>41</v>
      </c>
      <c r="G3" s="20" t="s">
        <v>427</v>
      </c>
      <c r="H3" s="21" t="s">
        <v>41</v>
      </c>
      <c r="I3" s="20" t="s">
        <v>428</v>
      </c>
      <c r="J3" s="33">
        <v>32</v>
      </c>
      <c r="K3" s="34">
        <v>14.94</v>
      </c>
      <c r="L3" s="34">
        <v>4.8</v>
      </c>
      <c r="M3" s="85">
        <v>4.8</v>
      </c>
      <c r="N3" s="85">
        <v>4.8</v>
      </c>
      <c r="O3" s="36">
        <v>1</v>
      </c>
      <c r="P3" s="37">
        <v>0.55000000000000004</v>
      </c>
      <c r="Q3" s="53">
        <f t="shared" ref="Q3:Q66" si="0">P3*J3</f>
        <v>17.600000000000001</v>
      </c>
      <c r="R3" s="54">
        <v>6207999099</v>
      </c>
      <c r="S3" s="55">
        <v>0.12</v>
      </c>
      <c r="T3" s="16" t="s">
        <v>429</v>
      </c>
      <c r="U3" s="16">
        <v>17.989999999999998</v>
      </c>
      <c r="V3" s="16">
        <v>0.42</v>
      </c>
      <c r="W3" s="56" t="s">
        <v>44</v>
      </c>
    </row>
    <row r="4" spans="1:24" s="3" customFormat="1" ht="18" customHeight="1">
      <c r="A4" s="15">
        <v>2</v>
      </c>
      <c r="B4" s="15" t="s">
        <v>430</v>
      </c>
      <c r="C4" s="16" t="s">
        <v>39</v>
      </c>
      <c r="D4" s="17" t="s">
        <v>426</v>
      </c>
      <c r="E4" s="22" t="s">
        <v>40</v>
      </c>
      <c r="F4" s="19" t="s">
        <v>41</v>
      </c>
      <c r="G4" s="20" t="s">
        <v>427</v>
      </c>
      <c r="H4" s="21" t="s">
        <v>41</v>
      </c>
      <c r="I4" s="20" t="s">
        <v>428</v>
      </c>
      <c r="J4" s="33">
        <v>32</v>
      </c>
      <c r="K4" s="34">
        <v>14.94</v>
      </c>
      <c r="L4" s="34">
        <v>4.8</v>
      </c>
      <c r="M4" s="85">
        <v>4.8</v>
      </c>
      <c r="N4" s="85">
        <v>4.8</v>
      </c>
      <c r="O4" s="36">
        <v>1</v>
      </c>
      <c r="P4" s="37">
        <v>0.55000000000000004</v>
      </c>
      <c r="Q4" s="53">
        <f t="shared" si="0"/>
        <v>17.600000000000001</v>
      </c>
      <c r="R4" s="54">
        <v>6207999099</v>
      </c>
      <c r="S4" s="55">
        <v>0.12</v>
      </c>
      <c r="T4" s="16" t="s">
        <v>429</v>
      </c>
      <c r="U4" s="16">
        <v>17.989999999999998</v>
      </c>
      <c r="V4" s="16">
        <v>0.42</v>
      </c>
      <c r="W4" s="57" t="s">
        <v>44</v>
      </c>
    </row>
    <row r="5" spans="1:24" s="3" customFormat="1" ht="18" customHeight="1">
      <c r="A5" s="15">
        <v>3</v>
      </c>
      <c r="B5" s="15" t="s">
        <v>431</v>
      </c>
      <c r="C5" s="16" t="s">
        <v>39</v>
      </c>
      <c r="D5" s="17" t="s">
        <v>426</v>
      </c>
      <c r="E5" s="22" t="s">
        <v>40</v>
      </c>
      <c r="F5" s="19" t="s">
        <v>41</v>
      </c>
      <c r="G5" s="20" t="s">
        <v>427</v>
      </c>
      <c r="H5" s="21" t="s">
        <v>41</v>
      </c>
      <c r="I5" s="20" t="s">
        <v>428</v>
      </c>
      <c r="J5" s="33">
        <v>32</v>
      </c>
      <c r="K5" s="34">
        <v>14.94</v>
      </c>
      <c r="L5" s="34">
        <v>4.8</v>
      </c>
      <c r="M5" s="85">
        <v>4.8</v>
      </c>
      <c r="N5" s="85">
        <v>4.8</v>
      </c>
      <c r="O5" s="36">
        <v>1</v>
      </c>
      <c r="P5" s="37">
        <v>0.55000000000000004</v>
      </c>
      <c r="Q5" s="53">
        <f t="shared" si="0"/>
        <v>17.600000000000001</v>
      </c>
      <c r="R5" s="54">
        <v>6207999099</v>
      </c>
      <c r="S5" s="55">
        <v>0.12</v>
      </c>
      <c r="T5" s="16" t="s">
        <v>429</v>
      </c>
      <c r="U5" s="16">
        <v>17.989999999999998</v>
      </c>
      <c r="V5" s="16">
        <v>0.42</v>
      </c>
      <c r="W5" s="57" t="s">
        <v>44</v>
      </c>
    </row>
    <row r="6" spans="1:24" s="3" customFormat="1" ht="18" customHeight="1">
      <c r="A6" s="15">
        <v>4</v>
      </c>
      <c r="B6" s="15" t="s">
        <v>432</v>
      </c>
      <c r="C6" s="16" t="s">
        <v>39</v>
      </c>
      <c r="D6" s="17" t="s">
        <v>426</v>
      </c>
      <c r="E6" s="22" t="s">
        <v>40</v>
      </c>
      <c r="F6" s="19" t="s">
        <v>41</v>
      </c>
      <c r="G6" s="20" t="s">
        <v>427</v>
      </c>
      <c r="H6" s="21" t="s">
        <v>41</v>
      </c>
      <c r="I6" s="20" t="s">
        <v>428</v>
      </c>
      <c r="J6" s="33">
        <v>32</v>
      </c>
      <c r="K6" s="34">
        <v>14.94</v>
      </c>
      <c r="L6" s="34">
        <v>4.8</v>
      </c>
      <c r="M6" s="85">
        <v>4.8</v>
      </c>
      <c r="N6" s="85">
        <v>4.8</v>
      </c>
      <c r="O6" s="36">
        <v>1</v>
      </c>
      <c r="P6" s="37">
        <v>0.55000000000000004</v>
      </c>
      <c r="Q6" s="53">
        <f t="shared" si="0"/>
        <v>17.600000000000001</v>
      </c>
      <c r="R6" s="54">
        <v>6207999099</v>
      </c>
      <c r="S6" s="55">
        <v>0.12</v>
      </c>
      <c r="T6" s="16" t="s">
        <v>429</v>
      </c>
      <c r="U6" s="16">
        <v>17.989999999999998</v>
      </c>
      <c r="V6" s="16">
        <v>0.42</v>
      </c>
      <c r="W6" s="57" t="s">
        <v>44</v>
      </c>
    </row>
    <row r="7" spans="1:24" s="3" customFormat="1" ht="18" customHeight="1">
      <c r="A7" s="15">
        <v>5</v>
      </c>
      <c r="B7" s="15" t="s">
        <v>433</v>
      </c>
      <c r="C7" s="16" t="s">
        <v>39</v>
      </c>
      <c r="D7" s="17" t="s">
        <v>426</v>
      </c>
      <c r="E7" s="22" t="s">
        <v>40</v>
      </c>
      <c r="F7" s="19" t="s">
        <v>41</v>
      </c>
      <c r="G7" s="20" t="s">
        <v>427</v>
      </c>
      <c r="H7" s="21" t="s">
        <v>41</v>
      </c>
      <c r="I7" s="20" t="s">
        <v>428</v>
      </c>
      <c r="J7" s="33">
        <v>32</v>
      </c>
      <c r="K7" s="34">
        <v>14.94</v>
      </c>
      <c r="L7" s="34">
        <v>4.8</v>
      </c>
      <c r="M7" s="85">
        <v>4.8</v>
      </c>
      <c r="N7" s="85">
        <v>4.8</v>
      </c>
      <c r="O7" s="36">
        <v>1</v>
      </c>
      <c r="P7" s="37">
        <v>0.55000000000000004</v>
      </c>
      <c r="Q7" s="53">
        <f t="shared" si="0"/>
        <v>17.600000000000001</v>
      </c>
      <c r="R7" s="54">
        <v>6207999099</v>
      </c>
      <c r="S7" s="55">
        <v>0.12</v>
      </c>
      <c r="T7" s="16" t="s">
        <v>429</v>
      </c>
      <c r="U7" s="16">
        <v>17.989999999999998</v>
      </c>
      <c r="V7" s="16">
        <v>0.42</v>
      </c>
      <c r="W7" s="57" t="s">
        <v>44</v>
      </c>
    </row>
    <row r="8" spans="1:24" s="3" customFormat="1" ht="18" customHeight="1">
      <c r="A8" s="15">
        <v>6</v>
      </c>
      <c r="B8" s="15" t="s">
        <v>434</v>
      </c>
      <c r="C8" s="16" t="s">
        <v>39</v>
      </c>
      <c r="D8" s="17" t="s">
        <v>426</v>
      </c>
      <c r="E8" s="22" t="s">
        <v>40</v>
      </c>
      <c r="F8" s="19" t="s">
        <v>41</v>
      </c>
      <c r="G8" s="20" t="s">
        <v>427</v>
      </c>
      <c r="H8" s="21" t="s">
        <v>41</v>
      </c>
      <c r="I8" s="20" t="s">
        <v>428</v>
      </c>
      <c r="J8" s="33">
        <v>32</v>
      </c>
      <c r="K8" s="34">
        <v>14.94</v>
      </c>
      <c r="L8" s="34">
        <v>4.8</v>
      </c>
      <c r="M8" s="85">
        <v>4.8</v>
      </c>
      <c r="N8" s="85">
        <v>4.8</v>
      </c>
      <c r="O8" s="36">
        <v>1</v>
      </c>
      <c r="P8" s="37">
        <v>0.55000000000000004</v>
      </c>
      <c r="Q8" s="53">
        <f t="shared" si="0"/>
        <v>17.600000000000001</v>
      </c>
      <c r="R8" s="54">
        <v>6207999099</v>
      </c>
      <c r="S8" s="55">
        <v>0.12</v>
      </c>
      <c r="T8" s="16" t="s">
        <v>429</v>
      </c>
      <c r="U8" s="16">
        <v>17.989999999999998</v>
      </c>
      <c r="V8" s="16">
        <v>0.42</v>
      </c>
      <c r="W8" s="57" t="s">
        <v>44</v>
      </c>
    </row>
    <row r="9" spans="1:24" s="3" customFormat="1" ht="18" customHeight="1">
      <c r="A9" s="15">
        <v>7</v>
      </c>
      <c r="B9" s="15" t="s">
        <v>435</v>
      </c>
      <c r="C9" s="16" t="s">
        <v>39</v>
      </c>
      <c r="D9" s="17" t="s">
        <v>426</v>
      </c>
      <c r="E9" s="22" t="s">
        <v>40</v>
      </c>
      <c r="F9" s="19" t="s">
        <v>41</v>
      </c>
      <c r="G9" s="20" t="s">
        <v>427</v>
      </c>
      <c r="H9" s="21" t="s">
        <v>41</v>
      </c>
      <c r="I9" s="20" t="s">
        <v>428</v>
      </c>
      <c r="J9" s="33">
        <v>32</v>
      </c>
      <c r="K9" s="34">
        <v>14.94</v>
      </c>
      <c r="L9" s="34">
        <v>4.8</v>
      </c>
      <c r="M9" s="85">
        <v>4.8</v>
      </c>
      <c r="N9" s="85">
        <v>4.8</v>
      </c>
      <c r="O9" s="36">
        <v>1</v>
      </c>
      <c r="P9" s="37">
        <v>0.55000000000000004</v>
      </c>
      <c r="Q9" s="53">
        <f t="shared" si="0"/>
        <v>17.600000000000001</v>
      </c>
      <c r="R9" s="54">
        <v>6207999099</v>
      </c>
      <c r="S9" s="55">
        <v>0.12</v>
      </c>
      <c r="T9" s="16" t="s">
        <v>429</v>
      </c>
      <c r="U9" s="16">
        <v>17.989999999999998</v>
      </c>
      <c r="V9" s="16">
        <v>0.42</v>
      </c>
      <c r="W9" s="57" t="s">
        <v>44</v>
      </c>
    </row>
    <row r="10" spans="1:24" s="3" customFormat="1" ht="18" customHeight="1">
      <c r="A10" s="15">
        <v>8</v>
      </c>
      <c r="B10" s="15" t="s">
        <v>436</v>
      </c>
      <c r="C10" s="16" t="s">
        <v>39</v>
      </c>
      <c r="D10" s="17" t="s">
        <v>426</v>
      </c>
      <c r="E10" s="22" t="s">
        <v>40</v>
      </c>
      <c r="F10" s="19" t="s">
        <v>41</v>
      </c>
      <c r="G10" s="20" t="s">
        <v>427</v>
      </c>
      <c r="H10" s="21" t="s">
        <v>41</v>
      </c>
      <c r="I10" s="20" t="s">
        <v>428</v>
      </c>
      <c r="J10" s="33">
        <v>32</v>
      </c>
      <c r="K10" s="34">
        <v>14.94</v>
      </c>
      <c r="L10" s="34">
        <v>4.8</v>
      </c>
      <c r="M10" s="85">
        <v>4.8</v>
      </c>
      <c r="N10" s="85">
        <v>4.8</v>
      </c>
      <c r="O10" s="36">
        <v>1</v>
      </c>
      <c r="P10" s="37">
        <v>0.55000000000000004</v>
      </c>
      <c r="Q10" s="53">
        <f t="shared" si="0"/>
        <v>17.600000000000001</v>
      </c>
      <c r="R10" s="54">
        <v>6207999099</v>
      </c>
      <c r="S10" s="55">
        <v>0.12</v>
      </c>
      <c r="T10" s="16" t="s">
        <v>429</v>
      </c>
      <c r="U10" s="16">
        <v>17.989999999999998</v>
      </c>
      <c r="V10" s="16">
        <v>0.42</v>
      </c>
      <c r="W10" s="57" t="s">
        <v>44</v>
      </c>
    </row>
    <row r="11" spans="1:24" s="3" customFormat="1" ht="18" customHeight="1">
      <c r="A11" s="15">
        <v>9</v>
      </c>
      <c r="B11" s="15" t="s">
        <v>437</v>
      </c>
      <c r="C11" s="16" t="s">
        <v>39</v>
      </c>
      <c r="D11" s="17" t="s">
        <v>426</v>
      </c>
      <c r="E11" s="22" t="s">
        <v>40</v>
      </c>
      <c r="F11" s="19" t="s">
        <v>41</v>
      </c>
      <c r="G11" s="20" t="s">
        <v>427</v>
      </c>
      <c r="H11" s="21" t="s">
        <v>41</v>
      </c>
      <c r="I11" s="20" t="s">
        <v>428</v>
      </c>
      <c r="J11" s="33">
        <v>32</v>
      </c>
      <c r="K11" s="34">
        <v>14.94</v>
      </c>
      <c r="L11" s="34">
        <v>4.8</v>
      </c>
      <c r="M11" s="85">
        <v>4.8</v>
      </c>
      <c r="N11" s="85">
        <v>4.8</v>
      </c>
      <c r="O11" s="36">
        <v>1</v>
      </c>
      <c r="P11" s="37">
        <v>0.55000000000000004</v>
      </c>
      <c r="Q11" s="53">
        <f t="shared" si="0"/>
        <v>17.600000000000001</v>
      </c>
      <c r="R11" s="54">
        <v>6207999099</v>
      </c>
      <c r="S11" s="55">
        <v>0.12</v>
      </c>
      <c r="T11" s="16" t="s">
        <v>429</v>
      </c>
      <c r="U11" s="16">
        <v>17.989999999999998</v>
      </c>
      <c r="V11" s="16">
        <v>0.42</v>
      </c>
      <c r="W11" s="57" t="s">
        <v>44</v>
      </c>
    </row>
    <row r="12" spans="1:24" s="3" customFormat="1" ht="18" customHeight="1">
      <c r="A12" s="15">
        <v>10</v>
      </c>
      <c r="B12" s="15" t="s">
        <v>438</v>
      </c>
      <c r="C12" s="16" t="s">
        <v>39</v>
      </c>
      <c r="D12" s="17" t="s">
        <v>426</v>
      </c>
      <c r="E12" s="22" t="s">
        <v>40</v>
      </c>
      <c r="F12" s="19" t="s">
        <v>41</v>
      </c>
      <c r="G12" s="20" t="s">
        <v>427</v>
      </c>
      <c r="H12" s="21" t="s">
        <v>41</v>
      </c>
      <c r="I12" s="20" t="s">
        <v>428</v>
      </c>
      <c r="J12" s="33">
        <v>32</v>
      </c>
      <c r="K12" s="34">
        <v>14.94</v>
      </c>
      <c r="L12" s="34">
        <v>4.8</v>
      </c>
      <c r="M12" s="85">
        <v>4.8</v>
      </c>
      <c r="N12" s="85">
        <v>4.8</v>
      </c>
      <c r="O12" s="36">
        <v>1</v>
      </c>
      <c r="P12" s="37">
        <v>0.55000000000000004</v>
      </c>
      <c r="Q12" s="53">
        <f t="shared" si="0"/>
        <v>17.600000000000001</v>
      </c>
      <c r="R12" s="54">
        <v>6207999099</v>
      </c>
      <c r="S12" s="55">
        <v>0.12</v>
      </c>
      <c r="T12" s="16" t="s">
        <v>429</v>
      </c>
      <c r="U12" s="16">
        <v>17.989999999999998</v>
      </c>
      <c r="V12" s="16">
        <v>0.42</v>
      </c>
      <c r="W12" s="57" t="s">
        <v>44</v>
      </c>
    </row>
    <row r="13" spans="1:24" s="3" customFormat="1" ht="18" customHeight="1">
      <c r="A13" s="15">
        <v>11</v>
      </c>
      <c r="B13" s="15" t="s">
        <v>439</v>
      </c>
      <c r="C13" s="16" t="s">
        <v>39</v>
      </c>
      <c r="D13" s="17" t="s">
        <v>426</v>
      </c>
      <c r="E13" s="22" t="s">
        <v>40</v>
      </c>
      <c r="F13" s="19" t="s">
        <v>41</v>
      </c>
      <c r="G13" s="20" t="s">
        <v>427</v>
      </c>
      <c r="H13" s="21" t="s">
        <v>41</v>
      </c>
      <c r="I13" s="38" t="s">
        <v>428</v>
      </c>
      <c r="J13" s="33">
        <v>32</v>
      </c>
      <c r="K13" s="34">
        <v>14.94</v>
      </c>
      <c r="L13" s="34">
        <v>4.8</v>
      </c>
      <c r="M13" s="85">
        <v>4.8</v>
      </c>
      <c r="N13" s="85">
        <v>4.8</v>
      </c>
      <c r="O13" s="15">
        <v>1</v>
      </c>
      <c r="P13" s="37">
        <v>0.55000000000000004</v>
      </c>
      <c r="Q13" s="37">
        <f t="shared" si="0"/>
        <v>17.600000000000001</v>
      </c>
      <c r="R13" s="58">
        <v>6207999099</v>
      </c>
      <c r="S13" s="55">
        <v>0.12</v>
      </c>
      <c r="T13" s="16" t="s">
        <v>429</v>
      </c>
      <c r="U13" s="16">
        <v>17.989999999999998</v>
      </c>
      <c r="V13" s="16">
        <v>0.42</v>
      </c>
      <c r="W13" s="57" t="s">
        <v>44</v>
      </c>
    </row>
    <row r="14" spans="1:24" s="3" customFormat="1" ht="18" customHeight="1">
      <c r="A14" s="15">
        <v>12</v>
      </c>
      <c r="B14" s="15" t="s">
        <v>440</v>
      </c>
      <c r="C14" s="16" t="s">
        <v>39</v>
      </c>
      <c r="D14" s="17" t="s">
        <v>426</v>
      </c>
      <c r="E14" s="22" t="s">
        <v>40</v>
      </c>
      <c r="F14" s="19" t="s">
        <v>41</v>
      </c>
      <c r="G14" s="20" t="s">
        <v>427</v>
      </c>
      <c r="H14" s="21" t="s">
        <v>41</v>
      </c>
      <c r="I14" s="38" t="s">
        <v>428</v>
      </c>
      <c r="J14" s="33">
        <v>32</v>
      </c>
      <c r="K14" s="34">
        <v>14.94</v>
      </c>
      <c r="L14" s="34">
        <v>4.8</v>
      </c>
      <c r="M14" s="85">
        <v>4.8</v>
      </c>
      <c r="N14" s="85">
        <v>4.8</v>
      </c>
      <c r="O14" s="15">
        <v>1</v>
      </c>
      <c r="P14" s="37">
        <v>0.55000000000000004</v>
      </c>
      <c r="Q14" s="37">
        <f t="shared" si="0"/>
        <v>17.600000000000001</v>
      </c>
      <c r="R14" s="58">
        <v>6207999099</v>
      </c>
      <c r="S14" s="55">
        <v>0.12</v>
      </c>
      <c r="T14" s="16" t="s">
        <v>429</v>
      </c>
      <c r="U14" s="16">
        <v>17.989999999999998</v>
      </c>
      <c r="V14" s="16">
        <v>0.42</v>
      </c>
      <c r="W14" s="57" t="s">
        <v>44</v>
      </c>
    </row>
    <row r="15" spans="1:24" s="3" customFormat="1" ht="18" customHeight="1">
      <c r="A15" s="15">
        <v>13</v>
      </c>
      <c r="B15" s="15" t="s">
        <v>441</v>
      </c>
      <c r="C15" s="16" t="s">
        <v>39</v>
      </c>
      <c r="D15" s="17" t="s">
        <v>426</v>
      </c>
      <c r="E15" s="22" t="s">
        <v>40</v>
      </c>
      <c r="F15" s="19" t="s">
        <v>41</v>
      </c>
      <c r="G15" s="20" t="s">
        <v>427</v>
      </c>
      <c r="H15" s="21" t="s">
        <v>41</v>
      </c>
      <c r="I15" s="38" t="s">
        <v>428</v>
      </c>
      <c r="J15" s="33">
        <v>32</v>
      </c>
      <c r="K15" s="34">
        <v>14.94</v>
      </c>
      <c r="L15" s="34">
        <v>4.8</v>
      </c>
      <c r="M15" s="85">
        <v>4.8</v>
      </c>
      <c r="N15" s="85">
        <v>4.8</v>
      </c>
      <c r="O15" s="15">
        <v>1</v>
      </c>
      <c r="P15" s="37">
        <v>0.55000000000000004</v>
      </c>
      <c r="Q15" s="37">
        <f t="shared" si="0"/>
        <v>17.600000000000001</v>
      </c>
      <c r="R15" s="58">
        <v>6207999099</v>
      </c>
      <c r="S15" s="55">
        <v>0.12</v>
      </c>
      <c r="T15" s="16" t="s">
        <v>429</v>
      </c>
      <c r="U15" s="16">
        <v>17.989999999999998</v>
      </c>
      <c r="V15" s="16">
        <v>0.42</v>
      </c>
      <c r="W15" s="57" t="s">
        <v>44</v>
      </c>
    </row>
    <row r="16" spans="1:24" s="3" customFormat="1" ht="18" customHeight="1">
      <c r="A16" s="15">
        <v>14</v>
      </c>
      <c r="B16" s="15" t="s">
        <v>442</v>
      </c>
      <c r="C16" s="16" t="s">
        <v>39</v>
      </c>
      <c r="D16" s="17" t="s">
        <v>426</v>
      </c>
      <c r="E16" s="22" t="s">
        <v>40</v>
      </c>
      <c r="F16" s="19" t="s">
        <v>41</v>
      </c>
      <c r="G16" s="20" t="s">
        <v>427</v>
      </c>
      <c r="H16" s="21" t="s">
        <v>41</v>
      </c>
      <c r="I16" s="38" t="s">
        <v>428</v>
      </c>
      <c r="J16" s="33">
        <v>32</v>
      </c>
      <c r="K16" s="34">
        <v>14.94</v>
      </c>
      <c r="L16" s="34">
        <v>4.8</v>
      </c>
      <c r="M16" s="85">
        <v>4.8</v>
      </c>
      <c r="N16" s="85">
        <v>4.8</v>
      </c>
      <c r="O16" s="15">
        <v>1</v>
      </c>
      <c r="P16" s="37">
        <v>0.55000000000000004</v>
      </c>
      <c r="Q16" s="37">
        <f t="shared" si="0"/>
        <v>17.600000000000001</v>
      </c>
      <c r="R16" s="58">
        <v>6207999099</v>
      </c>
      <c r="S16" s="55">
        <v>0.12</v>
      </c>
      <c r="T16" s="16" t="s">
        <v>429</v>
      </c>
      <c r="U16" s="16">
        <v>17.989999999999998</v>
      </c>
      <c r="V16" s="16">
        <v>0.42</v>
      </c>
      <c r="W16" s="57" t="s">
        <v>44</v>
      </c>
    </row>
    <row r="17" spans="1:23" s="3" customFormat="1" ht="18.95" customHeight="1">
      <c r="A17" s="15">
        <v>15</v>
      </c>
      <c r="B17" s="15" t="s">
        <v>443</v>
      </c>
      <c r="C17" s="16" t="s">
        <v>39</v>
      </c>
      <c r="D17" s="17" t="s">
        <v>426</v>
      </c>
      <c r="E17" s="22" t="s">
        <v>40</v>
      </c>
      <c r="F17" s="19" t="s">
        <v>41</v>
      </c>
      <c r="G17" s="20" t="s">
        <v>427</v>
      </c>
      <c r="H17" s="21" t="s">
        <v>41</v>
      </c>
      <c r="I17" s="38" t="s">
        <v>428</v>
      </c>
      <c r="J17" s="33">
        <v>32</v>
      </c>
      <c r="K17" s="34">
        <v>14.94</v>
      </c>
      <c r="L17" s="34">
        <v>4.8</v>
      </c>
      <c r="M17" s="85">
        <v>4.8</v>
      </c>
      <c r="N17" s="85">
        <v>4.8</v>
      </c>
      <c r="O17" s="15">
        <v>1</v>
      </c>
      <c r="P17" s="37">
        <v>0.55000000000000004</v>
      </c>
      <c r="Q17" s="37">
        <f t="shared" si="0"/>
        <v>17.600000000000001</v>
      </c>
      <c r="R17" s="58">
        <v>6207999099</v>
      </c>
      <c r="S17" s="55">
        <v>0.12</v>
      </c>
      <c r="T17" s="16" t="s">
        <v>429</v>
      </c>
      <c r="U17" s="16">
        <v>17.989999999999998</v>
      </c>
      <c r="V17" s="16">
        <v>0.42</v>
      </c>
      <c r="W17" s="57" t="s">
        <v>44</v>
      </c>
    </row>
    <row r="18" spans="1:23" s="3" customFormat="1" ht="18" customHeight="1">
      <c r="A18" s="15">
        <v>16</v>
      </c>
      <c r="B18" s="373" t="s">
        <v>444</v>
      </c>
      <c r="C18" s="24" t="s">
        <v>60</v>
      </c>
      <c r="D18" s="16" t="s">
        <v>445</v>
      </c>
      <c r="E18" s="22" t="s">
        <v>61</v>
      </c>
      <c r="F18" s="19" t="s">
        <v>41</v>
      </c>
      <c r="G18" s="20" t="s">
        <v>446</v>
      </c>
      <c r="H18" s="19" t="s">
        <v>41</v>
      </c>
      <c r="I18" s="38" t="s">
        <v>447</v>
      </c>
      <c r="J18" s="16">
        <v>48</v>
      </c>
      <c r="K18" s="39">
        <v>17.82</v>
      </c>
      <c r="L18" s="39">
        <v>17.82</v>
      </c>
      <c r="M18" s="142">
        <v>20.32</v>
      </c>
      <c r="N18" s="85">
        <v>20.32</v>
      </c>
      <c r="O18" s="344">
        <v>1</v>
      </c>
      <c r="P18" s="37">
        <v>0.33</v>
      </c>
      <c r="Q18" s="37">
        <f t="shared" si="0"/>
        <v>15.84</v>
      </c>
      <c r="R18" s="58">
        <v>8424200000</v>
      </c>
      <c r="S18" s="55">
        <v>1.7000000000000001E-2</v>
      </c>
      <c r="T18" s="16" t="s">
        <v>448</v>
      </c>
      <c r="U18" s="16">
        <v>9.99</v>
      </c>
      <c r="V18" s="16">
        <v>0.34</v>
      </c>
      <c r="W18" s="59" t="s">
        <v>64</v>
      </c>
    </row>
    <row r="19" spans="1:23" s="3" customFormat="1" ht="18" customHeight="1">
      <c r="A19" s="15">
        <v>17</v>
      </c>
      <c r="B19" s="373"/>
      <c r="C19" s="24" t="s">
        <v>65</v>
      </c>
      <c r="D19" s="16" t="s">
        <v>449</v>
      </c>
      <c r="E19" s="22" t="s">
        <v>66</v>
      </c>
      <c r="F19" s="19" t="s">
        <v>41</v>
      </c>
      <c r="G19" s="20" t="s">
        <v>450</v>
      </c>
      <c r="H19" s="19" t="s">
        <v>41</v>
      </c>
      <c r="I19" s="41" t="s">
        <v>451</v>
      </c>
      <c r="J19" s="16">
        <v>30</v>
      </c>
      <c r="K19" s="39">
        <v>3.3</v>
      </c>
      <c r="L19" s="39">
        <v>3.3</v>
      </c>
      <c r="M19" s="142">
        <v>4.8600000000000003</v>
      </c>
      <c r="N19" s="85">
        <v>4.8600000000000003</v>
      </c>
      <c r="O19" s="345"/>
      <c r="P19" s="37">
        <v>0.22</v>
      </c>
      <c r="Q19" s="37">
        <f t="shared" si="0"/>
        <v>6.6</v>
      </c>
      <c r="R19" s="58">
        <v>3923109090</v>
      </c>
      <c r="S19" s="55">
        <v>6.5000000000000002E-2</v>
      </c>
      <c r="T19" s="16" t="s">
        <v>452</v>
      </c>
      <c r="U19" s="16">
        <v>6.45</v>
      </c>
      <c r="V19" s="16">
        <v>0.06</v>
      </c>
      <c r="W19" s="60" t="s">
        <v>69</v>
      </c>
    </row>
    <row r="20" spans="1:23" s="3" customFormat="1" ht="18" customHeight="1">
      <c r="A20" s="15">
        <v>18</v>
      </c>
      <c r="B20" s="373" t="s">
        <v>453</v>
      </c>
      <c r="C20" s="24" t="s">
        <v>60</v>
      </c>
      <c r="D20" s="16" t="s">
        <v>445</v>
      </c>
      <c r="E20" s="22" t="s">
        <v>61</v>
      </c>
      <c r="F20" s="19" t="s">
        <v>41</v>
      </c>
      <c r="G20" s="20" t="s">
        <v>446</v>
      </c>
      <c r="H20" s="19" t="s">
        <v>41</v>
      </c>
      <c r="I20" s="38" t="s">
        <v>447</v>
      </c>
      <c r="J20" s="16">
        <v>48</v>
      </c>
      <c r="K20" s="39">
        <v>17.82</v>
      </c>
      <c r="L20" s="39">
        <v>17.82</v>
      </c>
      <c r="M20" s="142">
        <v>20.32</v>
      </c>
      <c r="N20" s="39">
        <v>20.32</v>
      </c>
      <c r="O20" s="344">
        <v>1</v>
      </c>
      <c r="P20" s="37">
        <v>0.33</v>
      </c>
      <c r="Q20" s="37">
        <f t="shared" si="0"/>
        <v>15.84</v>
      </c>
      <c r="R20" s="58">
        <v>8424200000</v>
      </c>
      <c r="S20" s="55">
        <v>1.7000000000000001E-2</v>
      </c>
      <c r="T20" s="16" t="s">
        <v>448</v>
      </c>
      <c r="U20" s="16">
        <v>9.99</v>
      </c>
      <c r="V20" s="16">
        <v>0.34</v>
      </c>
      <c r="W20" s="60" t="s">
        <v>64</v>
      </c>
    </row>
    <row r="21" spans="1:23" s="3" customFormat="1" ht="18" customHeight="1">
      <c r="A21" s="15">
        <v>19</v>
      </c>
      <c r="B21" s="373"/>
      <c r="C21" s="24" t="s">
        <v>65</v>
      </c>
      <c r="D21" s="16" t="s">
        <v>449</v>
      </c>
      <c r="E21" s="22" t="s">
        <v>66</v>
      </c>
      <c r="F21" s="19" t="s">
        <v>41</v>
      </c>
      <c r="G21" s="20" t="s">
        <v>450</v>
      </c>
      <c r="H21" s="19" t="s">
        <v>41</v>
      </c>
      <c r="I21" s="41" t="s">
        <v>451</v>
      </c>
      <c r="J21" s="16">
        <v>30</v>
      </c>
      <c r="K21" s="39">
        <v>3.3</v>
      </c>
      <c r="L21" s="39">
        <v>3.3</v>
      </c>
      <c r="M21" s="142">
        <v>4.8600000000000003</v>
      </c>
      <c r="N21" s="39">
        <v>4.8600000000000003</v>
      </c>
      <c r="O21" s="345"/>
      <c r="P21" s="37">
        <v>0.22</v>
      </c>
      <c r="Q21" s="37">
        <f t="shared" si="0"/>
        <v>6.6</v>
      </c>
      <c r="R21" s="58">
        <v>3923109090</v>
      </c>
      <c r="S21" s="55">
        <v>6.5000000000000002E-2</v>
      </c>
      <c r="T21" s="16" t="s">
        <v>452</v>
      </c>
      <c r="U21" s="16">
        <v>6.45</v>
      </c>
      <c r="V21" s="16">
        <v>0.06</v>
      </c>
      <c r="W21" s="60" t="s">
        <v>69</v>
      </c>
    </row>
    <row r="22" spans="1:23" s="3" customFormat="1" ht="18" customHeight="1">
      <c r="A22" s="15">
        <v>20</v>
      </c>
      <c r="B22" s="373" t="s">
        <v>454</v>
      </c>
      <c r="C22" s="24" t="s">
        <v>60</v>
      </c>
      <c r="D22" s="16" t="s">
        <v>445</v>
      </c>
      <c r="E22" s="22" t="s">
        <v>61</v>
      </c>
      <c r="F22" s="19" t="s">
        <v>41</v>
      </c>
      <c r="G22" s="20" t="s">
        <v>446</v>
      </c>
      <c r="H22" s="19" t="s">
        <v>41</v>
      </c>
      <c r="I22" s="38" t="s">
        <v>447</v>
      </c>
      <c r="J22" s="16">
        <v>48</v>
      </c>
      <c r="K22" s="39">
        <v>17.82</v>
      </c>
      <c r="L22" s="39">
        <v>17.82</v>
      </c>
      <c r="M22" s="142">
        <v>20.32</v>
      </c>
      <c r="N22" s="39">
        <v>20.32</v>
      </c>
      <c r="O22" s="344">
        <v>1</v>
      </c>
      <c r="P22" s="37">
        <v>0.33</v>
      </c>
      <c r="Q22" s="37">
        <f t="shared" si="0"/>
        <v>15.84</v>
      </c>
      <c r="R22" s="58">
        <v>8424200000</v>
      </c>
      <c r="S22" s="55">
        <v>1.7000000000000001E-2</v>
      </c>
      <c r="T22" s="16" t="s">
        <v>448</v>
      </c>
      <c r="U22" s="16">
        <v>9.99</v>
      </c>
      <c r="V22" s="16">
        <v>0.34</v>
      </c>
      <c r="W22" s="60" t="s">
        <v>64</v>
      </c>
    </row>
    <row r="23" spans="1:23" s="3" customFormat="1" ht="18" customHeight="1">
      <c r="A23" s="15">
        <v>21</v>
      </c>
      <c r="B23" s="373"/>
      <c r="C23" s="24" t="s">
        <v>65</v>
      </c>
      <c r="D23" s="16" t="s">
        <v>449</v>
      </c>
      <c r="E23" s="22" t="s">
        <v>66</v>
      </c>
      <c r="F23" s="19" t="s">
        <v>41</v>
      </c>
      <c r="G23" s="20" t="s">
        <v>450</v>
      </c>
      <c r="H23" s="19" t="s">
        <v>41</v>
      </c>
      <c r="I23" s="41" t="s">
        <v>451</v>
      </c>
      <c r="J23" s="16">
        <v>30</v>
      </c>
      <c r="K23" s="39">
        <v>3.3</v>
      </c>
      <c r="L23" s="39">
        <v>3.3</v>
      </c>
      <c r="M23" s="142">
        <v>4.8600000000000003</v>
      </c>
      <c r="N23" s="39">
        <v>4.8600000000000003</v>
      </c>
      <c r="O23" s="345"/>
      <c r="P23" s="37">
        <v>0.22</v>
      </c>
      <c r="Q23" s="37">
        <f t="shared" si="0"/>
        <v>6.6</v>
      </c>
      <c r="R23" s="58">
        <v>3923109090</v>
      </c>
      <c r="S23" s="55">
        <v>6.5000000000000002E-2</v>
      </c>
      <c r="T23" s="16" t="s">
        <v>452</v>
      </c>
      <c r="U23" s="16">
        <v>6.45</v>
      </c>
      <c r="V23" s="16">
        <v>0.06</v>
      </c>
      <c r="W23" s="60" t="s">
        <v>69</v>
      </c>
    </row>
    <row r="24" spans="1:23" s="3" customFormat="1" ht="18" customHeight="1">
      <c r="A24" s="15">
        <v>22</v>
      </c>
      <c r="B24" s="373" t="s">
        <v>455</v>
      </c>
      <c r="C24" s="24" t="s">
        <v>60</v>
      </c>
      <c r="D24" s="16" t="s">
        <v>445</v>
      </c>
      <c r="E24" s="22" t="s">
        <v>61</v>
      </c>
      <c r="F24" s="19" t="s">
        <v>41</v>
      </c>
      <c r="G24" s="20" t="s">
        <v>446</v>
      </c>
      <c r="H24" s="19" t="s">
        <v>41</v>
      </c>
      <c r="I24" s="38" t="s">
        <v>447</v>
      </c>
      <c r="J24" s="16">
        <v>48</v>
      </c>
      <c r="K24" s="39">
        <v>17.82</v>
      </c>
      <c r="L24" s="39">
        <v>17.82</v>
      </c>
      <c r="M24" s="142">
        <v>20.32</v>
      </c>
      <c r="N24" s="39">
        <v>20.32</v>
      </c>
      <c r="O24" s="344">
        <v>1</v>
      </c>
      <c r="P24" s="37">
        <v>0.33</v>
      </c>
      <c r="Q24" s="37">
        <f t="shared" si="0"/>
        <v>15.84</v>
      </c>
      <c r="R24" s="58">
        <v>8424200000</v>
      </c>
      <c r="S24" s="55">
        <v>1.7000000000000001E-2</v>
      </c>
      <c r="T24" s="16" t="s">
        <v>448</v>
      </c>
      <c r="U24" s="16">
        <v>9.99</v>
      </c>
      <c r="V24" s="16">
        <v>0.34</v>
      </c>
      <c r="W24" s="60" t="s">
        <v>64</v>
      </c>
    </row>
    <row r="25" spans="1:23" s="3" customFormat="1" ht="18" customHeight="1">
      <c r="A25" s="15">
        <v>23</v>
      </c>
      <c r="B25" s="373"/>
      <c r="C25" s="24" t="s">
        <v>65</v>
      </c>
      <c r="D25" s="16" t="s">
        <v>449</v>
      </c>
      <c r="E25" s="22" t="s">
        <v>66</v>
      </c>
      <c r="F25" s="19" t="s">
        <v>41</v>
      </c>
      <c r="G25" s="20" t="s">
        <v>450</v>
      </c>
      <c r="H25" s="19" t="s">
        <v>41</v>
      </c>
      <c r="I25" s="41" t="s">
        <v>451</v>
      </c>
      <c r="J25" s="16">
        <v>30</v>
      </c>
      <c r="K25" s="39">
        <v>3.3</v>
      </c>
      <c r="L25" s="39">
        <v>3.3</v>
      </c>
      <c r="M25" s="142">
        <v>4.8600000000000003</v>
      </c>
      <c r="N25" s="39">
        <v>4.8600000000000003</v>
      </c>
      <c r="O25" s="345"/>
      <c r="P25" s="37">
        <v>0.22</v>
      </c>
      <c r="Q25" s="37">
        <f t="shared" si="0"/>
        <v>6.6</v>
      </c>
      <c r="R25" s="58">
        <v>3923109090</v>
      </c>
      <c r="S25" s="55">
        <v>6.5000000000000002E-2</v>
      </c>
      <c r="T25" s="16" t="s">
        <v>452</v>
      </c>
      <c r="U25" s="16">
        <v>6.45</v>
      </c>
      <c r="V25" s="16">
        <v>0.06</v>
      </c>
      <c r="W25" s="60" t="s">
        <v>69</v>
      </c>
    </row>
    <row r="26" spans="1:23" s="3" customFormat="1" ht="18" customHeight="1">
      <c r="A26" s="15">
        <v>24</v>
      </c>
      <c r="B26" s="373" t="s">
        <v>456</v>
      </c>
      <c r="C26" s="24" t="s">
        <v>60</v>
      </c>
      <c r="D26" s="16" t="s">
        <v>445</v>
      </c>
      <c r="E26" s="22" t="s">
        <v>61</v>
      </c>
      <c r="F26" s="19" t="s">
        <v>41</v>
      </c>
      <c r="G26" s="20" t="s">
        <v>446</v>
      </c>
      <c r="H26" s="19" t="s">
        <v>41</v>
      </c>
      <c r="I26" s="38" t="s">
        <v>447</v>
      </c>
      <c r="J26" s="16">
        <v>48</v>
      </c>
      <c r="K26" s="39">
        <v>17.82</v>
      </c>
      <c r="L26" s="39">
        <v>17.82</v>
      </c>
      <c r="M26" s="142">
        <v>20.32</v>
      </c>
      <c r="N26" s="39">
        <v>20.32</v>
      </c>
      <c r="O26" s="344">
        <v>1</v>
      </c>
      <c r="P26" s="37">
        <v>0.33</v>
      </c>
      <c r="Q26" s="37">
        <f t="shared" si="0"/>
        <v>15.84</v>
      </c>
      <c r="R26" s="58">
        <v>8424200000</v>
      </c>
      <c r="S26" s="55">
        <v>1.7000000000000001E-2</v>
      </c>
      <c r="T26" s="16" t="s">
        <v>448</v>
      </c>
      <c r="U26" s="16">
        <v>9.99</v>
      </c>
      <c r="V26" s="16">
        <v>0.34</v>
      </c>
      <c r="W26" s="60" t="s">
        <v>64</v>
      </c>
    </row>
    <row r="27" spans="1:23" s="3" customFormat="1" ht="18" customHeight="1">
      <c r="A27" s="15">
        <v>25</v>
      </c>
      <c r="B27" s="373"/>
      <c r="C27" s="24" t="s">
        <v>65</v>
      </c>
      <c r="D27" s="16" t="s">
        <v>449</v>
      </c>
      <c r="E27" s="22" t="s">
        <v>66</v>
      </c>
      <c r="F27" s="19" t="s">
        <v>41</v>
      </c>
      <c r="G27" s="20" t="s">
        <v>450</v>
      </c>
      <c r="H27" s="19" t="s">
        <v>41</v>
      </c>
      <c r="I27" s="41" t="s">
        <v>451</v>
      </c>
      <c r="J27" s="16">
        <v>30</v>
      </c>
      <c r="K27" s="39">
        <v>3.3</v>
      </c>
      <c r="L27" s="39">
        <v>3.3</v>
      </c>
      <c r="M27" s="142">
        <v>4.8600000000000003</v>
      </c>
      <c r="N27" s="39">
        <v>4.8600000000000003</v>
      </c>
      <c r="O27" s="345"/>
      <c r="P27" s="37">
        <v>0.22</v>
      </c>
      <c r="Q27" s="37">
        <f t="shared" si="0"/>
        <v>6.6</v>
      </c>
      <c r="R27" s="58">
        <v>3923109090</v>
      </c>
      <c r="S27" s="55">
        <v>6.5000000000000002E-2</v>
      </c>
      <c r="T27" s="16" t="s">
        <v>452</v>
      </c>
      <c r="U27" s="16">
        <v>6.45</v>
      </c>
      <c r="V27" s="16">
        <v>0.06</v>
      </c>
      <c r="W27" s="60" t="s">
        <v>69</v>
      </c>
    </row>
    <row r="28" spans="1:23" s="3" customFormat="1" ht="18" customHeight="1">
      <c r="A28" s="15">
        <v>26</v>
      </c>
      <c r="B28" s="373" t="s">
        <v>457</v>
      </c>
      <c r="C28" s="24" t="s">
        <v>60</v>
      </c>
      <c r="D28" s="16" t="s">
        <v>445</v>
      </c>
      <c r="E28" s="22" t="s">
        <v>61</v>
      </c>
      <c r="F28" s="19" t="s">
        <v>41</v>
      </c>
      <c r="G28" s="20" t="s">
        <v>446</v>
      </c>
      <c r="H28" s="19" t="s">
        <v>41</v>
      </c>
      <c r="I28" s="38" t="s">
        <v>447</v>
      </c>
      <c r="J28" s="16">
        <v>48</v>
      </c>
      <c r="K28" s="39">
        <v>17.82</v>
      </c>
      <c r="L28" s="39">
        <v>17.82</v>
      </c>
      <c r="M28" s="142">
        <v>20.32</v>
      </c>
      <c r="N28" s="39">
        <v>20.32</v>
      </c>
      <c r="O28" s="344">
        <v>1</v>
      </c>
      <c r="P28" s="37">
        <v>0.33</v>
      </c>
      <c r="Q28" s="37">
        <f t="shared" si="0"/>
        <v>15.84</v>
      </c>
      <c r="R28" s="58">
        <v>8424200000</v>
      </c>
      <c r="S28" s="55">
        <v>1.7000000000000001E-2</v>
      </c>
      <c r="T28" s="16" t="s">
        <v>448</v>
      </c>
      <c r="U28" s="16">
        <v>9.99</v>
      </c>
      <c r="V28" s="16">
        <v>0.34</v>
      </c>
      <c r="W28" s="60" t="s">
        <v>64</v>
      </c>
    </row>
    <row r="29" spans="1:23" s="3" customFormat="1" ht="18" customHeight="1">
      <c r="A29" s="15">
        <v>27</v>
      </c>
      <c r="B29" s="373"/>
      <c r="C29" s="24" t="s">
        <v>65</v>
      </c>
      <c r="D29" s="16" t="s">
        <v>449</v>
      </c>
      <c r="E29" s="22" t="s">
        <v>66</v>
      </c>
      <c r="F29" s="19" t="s">
        <v>41</v>
      </c>
      <c r="G29" s="20" t="s">
        <v>450</v>
      </c>
      <c r="H29" s="19" t="s">
        <v>41</v>
      </c>
      <c r="I29" s="41" t="s">
        <v>451</v>
      </c>
      <c r="J29" s="16">
        <v>30</v>
      </c>
      <c r="K29" s="39">
        <v>3.3</v>
      </c>
      <c r="L29" s="39">
        <v>3.3</v>
      </c>
      <c r="M29" s="142">
        <v>4.8600000000000003</v>
      </c>
      <c r="N29" s="39">
        <v>4.8600000000000003</v>
      </c>
      <c r="O29" s="345"/>
      <c r="P29" s="37">
        <v>0.22</v>
      </c>
      <c r="Q29" s="37">
        <f t="shared" si="0"/>
        <v>6.6</v>
      </c>
      <c r="R29" s="58">
        <v>3923109090</v>
      </c>
      <c r="S29" s="55">
        <v>6.5000000000000002E-2</v>
      </c>
      <c r="T29" s="16" t="s">
        <v>452</v>
      </c>
      <c r="U29" s="16">
        <v>6.45</v>
      </c>
      <c r="V29" s="16">
        <v>0.06</v>
      </c>
      <c r="W29" s="60" t="s">
        <v>69</v>
      </c>
    </row>
    <row r="30" spans="1:23" s="3" customFormat="1" ht="18" customHeight="1">
      <c r="A30" s="15">
        <v>28</v>
      </c>
      <c r="B30" s="373" t="s">
        <v>458</v>
      </c>
      <c r="C30" s="24" t="s">
        <v>60</v>
      </c>
      <c r="D30" s="16" t="s">
        <v>445</v>
      </c>
      <c r="E30" s="22" t="s">
        <v>61</v>
      </c>
      <c r="F30" s="19" t="s">
        <v>41</v>
      </c>
      <c r="G30" s="20" t="s">
        <v>446</v>
      </c>
      <c r="H30" s="19" t="s">
        <v>41</v>
      </c>
      <c r="I30" s="38" t="s">
        <v>447</v>
      </c>
      <c r="J30" s="16">
        <v>48</v>
      </c>
      <c r="K30" s="39">
        <v>17.82</v>
      </c>
      <c r="L30" s="39">
        <v>17.82</v>
      </c>
      <c r="M30" s="142">
        <v>20.32</v>
      </c>
      <c r="N30" s="39">
        <v>20.32</v>
      </c>
      <c r="O30" s="344">
        <v>1</v>
      </c>
      <c r="P30" s="37">
        <v>0.33</v>
      </c>
      <c r="Q30" s="37">
        <f t="shared" si="0"/>
        <v>15.84</v>
      </c>
      <c r="R30" s="58">
        <v>8424200000</v>
      </c>
      <c r="S30" s="55">
        <v>1.7000000000000001E-2</v>
      </c>
      <c r="T30" s="16" t="s">
        <v>448</v>
      </c>
      <c r="U30" s="16">
        <v>9.99</v>
      </c>
      <c r="V30" s="16">
        <v>0.34</v>
      </c>
      <c r="W30" s="60" t="s">
        <v>64</v>
      </c>
    </row>
    <row r="31" spans="1:23" s="3" customFormat="1" ht="18" customHeight="1">
      <c r="A31" s="15">
        <v>29</v>
      </c>
      <c r="B31" s="373"/>
      <c r="C31" s="24" t="s">
        <v>65</v>
      </c>
      <c r="D31" s="16" t="s">
        <v>449</v>
      </c>
      <c r="E31" s="22" t="s">
        <v>66</v>
      </c>
      <c r="F31" s="19" t="s">
        <v>41</v>
      </c>
      <c r="G31" s="20" t="s">
        <v>450</v>
      </c>
      <c r="H31" s="19" t="s">
        <v>41</v>
      </c>
      <c r="I31" s="41" t="s">
        <v>451</v>
      </c>
      <c r="J31" s="16">
        <v>30</v>
      </c>
      <c r="K31" s="39">
        <v>3.3</v>
      </c>
      <c r="L31" s="39">
        <v>3.3</v>
      </c>
      <c r="M31" s="142">
        <v>4.8600000000000003</v>
      </c>
      <c r="N31" s="39">
        <v>4.8600000000000003</v>
      </c>
      <c r="O31" s="345"/>
      <c r="P31" s="37">
        <v>0.22</v>
      </c>
      <c r="Q31" s="37">
        <f t="shared" si="0"/>
        <v>6.6</v>
      </c>
      <c r="R31" s="58">
        <v>3923109090</v>
      </c>
      <c r="S31" s="55">
        <v>6.5000000000000002E-2</v>
      </c>
      <c r="T31" s="16" t="s">
        <v>452</v>
      </c>
      <c r="U31" s="16">
        <v>6.45</v>
      </c>
      <c r="V31" s="16">
        <v>0.06</v>
      </c>
      <c r="W31" s="60" t="s">
        <v>69</v>
      </c>
    </row>
    <row r="32" spans="1:23" s="3" customFormat="1" ht="18" customHeight="1">
      <c r="A32" s="15">
        <v>30</v>
      </c>
      <c r="B32" s="373" t="s">
        <v>459</v>
      </c>
      <c r="C32" s="24" t="s">
        <v>60</v>
      </c>
      <c r="D32" s="16" t="s">
        <v>445</v>
      </c>
      <c r="E32" s="22" t="s">
        <v>61</v>
      </c>
      <c r="F32" s="19" t="s">
        <v>41</v>
      </c>
      <c r="G32" s="20" t="s">
        <v>446</v>
      </c>
      <c r="H32" s="19" t="s">
        <v>41</v>
      </c>
      <c r="I32" s="38" t="s">
        <v>447</v>
      </c>
      <c r="J32" s="16">
        <v>48</v>
      </c>
      <c r="K32" s="39">
        <v>17.82</v>
      </c>
      <c r="L32" s="39">
        <v>17.82</v>
      </c>
      <c r="M32" s="142">
        <v>20.32</v>
      </c>
      <c r="N32" s="39">
        <v>20.32</v>
      </c>
      <c r="O32" s="344">
        <v>1</v>
      </c>
      <c r="P32" s="37">
        <v>0.33</v>
      </c>
      <c r="Q32" s="37">
        <f t="shared" si="0"/>
        <v>15.84</v>
      </c>
      <c r="R32" s="58">
        <v>8424200000</v>
      </c>
      <c r="S32" s="55">
        <v>1.7000000000000001E-2</v>
      </c>
      <c r="T32" s="16" t="s">
        <v>448</v>
      </c>
      <c r="U32" s="16">
        <v>9.99</v>
      </c>
      <c r="V32" s="16">
        <v>0.34</v>
      </c>
      <c r="W32" s="60" t="s">
        <v>64</v>
      </c>
    </row>
    <row r="33" spans="1:23" s="3" customFormat="1" ht="18" customHeight="1">
      <c r="A33" s="15">
        <v>31</v>
      </c>
      <c r="B33" s="373"/>
      <c r="C33" s="24" t="s">
        <v>65</v>
      </c>
      <c r="D33" s="16" t="s">
        <v>449</v>
      </c>
      <c r="E33" s="22" t="s">
        <v>66</v>
      </c>
      <c r="F33" s="19" t="s">
        <v>41</v>
      </c>
      <c r="G33" s="20" t="s">
        <v>450</v>
      </c>
      <c r="H33" s="19" t="s">
        <v>41</v>
      </c>
      <c r="I33" s="41" t="s">
        <v>451</v>
      </c>
      <c r="J33" s="16">
        <v>30</v>
      </c>
      <c r="K33" s="39">
        <v>3.3</v>
      </c>
      <c r="L33" s="39">
        <v>3.3</v>
      </c>
      <c r="M33" s="142">
        <v>4.8600000000000003</v>
      </c>
      <c r="N33" s="39">
        <v>4.8600000000000003</v>
      </c>
      <c r="O33" s="345"/>
      <c r="P33" s="37">
        <v>0.22</v>
      </c>
      <c r="Q33" s="37">
        <f t="shared" si="0"/>
        <v>6.6</v>
      </c>
      <c r="R33" s="58">
        <v>3923109090</v>
      </c>
      <c r="S33" s="55">
        <v>6.5000000000000002E-2</v>
      </c>
      <c r="T33" s="16" t="s">
        <v>452</v>
      </c>
      <c r="U33" s="16">
        <v>6.45</v>
      </c>
      <c r="V33" s="16">
        <v>0.06</v>
      </c>
      <c r="W33" s="60" t="s">
        <v>69</v>
      </c>
    </row>
    <row r="34" spans="1:23" s="3" customFormat="1" ht="18" customHeight="1">
      <c r="A34" s="15">
        <v>32</v>
      </c>
      <c r="B34" s="373" t="s">
        <v>460</v>
      </c>
      <c r="C34" s="24" t="s">
        <v>60</v>
      </c>
      <c r="D34" s="16" t="s">
        <v>445</v>
      </c>
      <c r="E34" s="22" t="s">
        <v>61</v>
      </c>
      <c r="F34" s="19" t="s">
        <v>41</v>
      </c>
      <c r="G34" s="20" t="s">
        <v>446</v>
      </c>
      <c r="H34" s="19" t="s">
        <v>41</v>
      </c>
      <c r="I34" s="38" t="s">
        <v>447</v>
      </c>
      <c r="J34" s="16">
        <v>48</v>
      </c>
      <c r="K34" s="39">
        <v>17.82</v>
      </c>
      <c r="L34" s="39">
        <v>17.82</v>
      </c>
      <c r="M34" s="142">
        <v>20.32</v>
      </c>
      <c r="N34" s="39">
        <v>20.32</v>
      </c>
      <c r="O34" s="344">
        <v>1</v>
      </c>
      <c r="P34" s="37">
        <v>0.33</v>
      </c>
      <c r="Q34" s="37">
        <f t="shared" si="0"/>
        <v>15.84</v>
      </c>
      <c r="R34" s="58">
        <v>8424200000</v>
      </c>
      <c r="S34" s="55">
        <v>1.7000000000000001E-2</v>
      </c>
      <c r="T34" s="16" t="s">
        <v>448</v>
      </c>
      <c r="U34" s="16">
        <v>9.99</v>
      </c>
      <c r="V34" s="16">
        <v>0.34</v>
      </c>
      <c r="W34" s="60" t="s">
        <v>64</v>
      </c>
    </row>
    <row r="35" spans="1:23" s="3" customFormat="1" ht="18" customHeight="1">
      <c r="A35" s="15">
        <v>33</v>
      </c>
      <c r="B35" s="373"/>
      <c r="C35" s="24" t="s">
        <v>65</v>
      </c>
      <c r="D35" s="16" t="s">
        <v>449</v>
      </c>
      <c r="E35" s="22" t="s">
        <v>66</v>
      </c>
      <c r="F35" s="19" t="s">
        <v>41</v>
      </c>
      <c r="G35" s="20" t="s">
        <v>450</v>
      </c>
      <c r="H35" s="19" t="s">
        <v>41</v>
      </c>
      <c r="I35" s="41" t="s">
        <v>451</v>
      </c>
      <c r="J35" s="16">
        <v>30</v>
      </c>
      <c r="K35" s="39">
        <v>3.3</v>
      </c>
      <c r="L35" s="39">
        <v>3.3</v>
      </c>
      <c r="M35" s="142">
        <v>4.8600000000000003</v>
      </c>
      <c r="N35" s="39">
        <v>4.8600000000000003</v>
      </c>
      <c r="O35" s="345"/>
      <c r="P35" s="37">
        <v>0.22</v>
      </c>
      <c r="Q35" s="37">
        <f t="shared" si="0"/>
        <v>6.6</v>
      </c>
      <c r="R35" s="58">
        <v>3923109090</v>
      </c>
      <c r="S35" s="55">
        <v>6.5000000000000002E-2</v>
      </c>
      <c r="T35" s="16" t="s">
        <v>452</v>
      </c>
      <c r="U35" s="16">
        <v>6.45</v>
      </c>
      <c r="V35" s="16">
        <v>0.06</v>
      </c>
      <c r="W35" s="60" t="s">
        <v>69</v>
      </c>
    </row>
    <row r="36" spans="1:23" s="3" customFormat="1" ht="18" customHeight="1">
      <c r="A36" s="15">
        <v>34</v>
      </c>
      <c r="B36" s="373" t="s">
        <v>461</v>
      </c>
      <c r="C36" s="24" t="s">
        <v>60</v>
      </c>
      <c r="D36" s="16" t="s">
        <v>445</v>
      </c>
      <c r="E36" s="22" t="s">
        <v>61</v>
      </c>
      <c r="F36" s="19" t="s">
        <v>41</v>
      </c>
      <c r="G36" s="20" t="s">
        <v>446</v>
      </c>
      <c r="H36" s="19" t="s">
        <v>41</v>
      </c>
      <c r="I36" s="38" t="s">
        <v>447</v>
      </c>
      <c r="J36" s="16">
        <v>48</v>
      </c>
      <c r="K36" s="39">
        <v>17.82</v>
      </c>
      <c r="L36" s="39">
        <v>17.82</v>
      </c>
      <c r="M36" s="142">
        <v>20.32</v>
      </c>
      <c r="N36" s="39">
        <v>20.32</v>
      </c>
      <c r="O36" s="344">
        <v>1</v>
      </c>
      <c r="P36" s="37">
        <v>0.33</v>
      </c>
      <c r="Q36" s="37">
        <f t="shared" si="0"/>
        <v>15.84</v>
      </c>
      <c r="R36" s="58">
        <v>8424200000</v>
      </c>
      <c r="S36" s="55">
        <v>1.7000000000000001E-2</v>
      </c>
      <c r="T36" s="16" t="s">
        <v>448</v>
      </c>
      <c r="U36" s="16">
        <v>9.99</v>
      </c>
      <c r="V36" s="16">
        <v>0.34</v>
      </c>
      <c r="W36" s="60" t="s">
        <v>64</v>
      </c>
    </row>
    <row r="37" spans="1:23" s="3" customFormat="1" ht="18" customHeight="1">
      <c r="A37" s="15">
        <v>35</v>
      </c>
      <c r="B37" s="373"/>
      <c r="C37" s="24" t="s">
        <v>65</v>
      </c>
      <c r="D37" s="16" t="s">
        <v>449</v>
      </c>
      <c r="E37" s="22" t="s">
        <v>66</v>
      </c>
      <c r="F37" s="19" t="s">
        <v>41</v>
      </c>
      <c r="G37" s="20" t="s">
        <v>450</v>
      </c>
      <c r="H37" s="19" t="s">
        <v>41</v>
      </c>
      <c r="I37" s="41" t="s">
        <v>451</v>
      </c>
      <c r="J37" s="16">
        <v>32</v>
      </c>
      <c r="K37" s="39">
        <v>3.42</v>
      </c>
      <c r="L37" s="39">
        <v>3.42</v>
      </c>
      <c r="M37" s="142">
        <v>5.09</v>
      </c>
      <c r="N37" s="39">
        <v>5.09</v>
      </c>
      <c r="O37" s="345"/>
      <c r="P37" s="37">
        <v>0.22</v>
      </c>
      <c r="Q37" s="37">
        <f t="shared" si="0"/>
        <v>7.04</v>
      </c>
      <c r="R37" s="58">
        <v>3923109090</v>
      </c>
      <c r="S37" s="55">
        <v>6.5000000000000002E-2</v>
      </c>
      <c r="T37" s="16" t="s">
        <v>452</v>
      </c>
      <c r="U37" s="16">
        <v>6.45</v>
      </c>
      <c r="V37" s="16">
        <v>0.06</v>
      </c>
      <c r="W37" s="60" t="s">
        <v>69</v>
      </c>
    </row>
    <row r="38" spans="1:23" s="3" customFormat="1" ht="18" customHeight="1">
      <c r="A38" s="15">
        <v>36</v>
      </c>
      <c r="B38" s="23" t="s">
        <v>462</v>
      </c>
      <c r="C38" s="16" t="s">
        <v>80</v>
      </c>
      <c r="D38" s="16" t="s">
        <v>463</v>
      </c>
      <c r="E38" s="22" t="s">
        <v>81</v>
      </c>
      <c r="F38" s="19" t="s">
        <v>41</v>
      </c>
      <c r="G38" s="20" t="s">
        <v>464</v>
      </c>
      <c r="H38" s="19" t="s">
        <v>41</v>
      </c>
      <c r="I38" s="38" t="s">
        <v>465</v>
      </c>
      <c r="J38" s="42">
        <v>204</v>
      </c>
      <c r="K38" s="39">
        <v>10.68</v>
      </c>
      <c r="L38" s="39">
        <v>10.68</v>
      </c>
      <c r="M38" s="142">
        <v>21.31</v>
      </c>
      <c r="N38" s="39">
        <v>21.31</v>
      </c>
      <c r="O38" s="15">
        <v>1</v>
      </c>
      <c r="P38" s="37">
        <v>0.08</v>
      </c>
      <c r="Q38" s="37">
        <f t="shared" si="0"/>
        <v>16.32</v>
      </c>
      <c r="R38" s="58">
        <v>9609909000</v>
      </c>
      <c r="S38" s="55">
        <v>1.7000000000000001E-2</v>
      </c>
      <c r="T38" s="16" t="s">
        <v>466</v>
      </c>
      <c r="U38" s="16">
        <v>7.99</v>
      </c>
      <c r="V38" s="16">
        <v>4.4999999999999998E-2</v>
      </c>
      <c r="W38" s="61" t="s">
        <v>84</v>
      </c>
    </row>
    <row r="39" spans="1:23" s="3" customFormat="1" ht="18" customHeight="1">
      <c r="A39" s="15">
        <v>37</v>
      </c>
      <c r="B39" s="340" t="s">
        <v>85</v>
      </c>
      <c r="C39" s="26" t="s">
        <v>86</v>
      </c>
      <c r="D39" s="16" t="s">
        <v>467</v>
      </c>
      <c r="E39" s="22" t="s">
        <v>87</v>
      </c>
      <c r="F39" s="19" t="s">
        <v>41</v>
      </c>
      <c r="G39" s="27" t="s">
        <v>468</v>
      </c>
      <c r="H39" s="19" t="s">
        <v>41</v>
      </c>
      <c r="I39" s="43" t="s">
        <v>469</v>
      </c>
      <c r="J39" s="25">
        <v>30</v>
      </c>
      <c r="K39" s="25">
        <v>8.1</v>
      </c>
      <c r="L39" s="25">
        <v>8.1</v>
      </c>
      <c r="M39" s="143">
        <v>9.66</v>
      </c>
      <c r="N39" s="25">
        <v>9.66</v>
      </c>
      <c r="O39" s="339">
        <v>1</v>
      </c>
      <c r="P39" s="37">
        <v>0.8</v>
      </c>
      <c r="Q39" s="37">
        <f t="shared" si="0"/>
        <v>24</v>
      </c>
      <c r="R39" s="58">
        <v>3926909790</v>
      </c>
      <c r="S39" s="55">
        <v>6.5000000000000002E-2</v>
      </c>
      <c r="T39" s="62" t="s">
        <v>470</v>
      </c>
      <c r="U39" s="62">
        <v>11.16</v>
      </c>
      <c r="V39" s="62">
        <v>0.22</v>
      </c>
      <c r="W39" s="63" t="s">
        <v>90</v>
      </c>
    </row>
    <row r="40" spans="1:23" s="3" customFormat="1" ht="18" customHeight="1">
      <c r="A40" s="15">
        <v>38</v>
      </c>
      <c r="B40" s="340"/>
      <c r="C40" s="26" t="s">
        <v>91</v>
      </c>
      <c r="D40" s="16" t="s">
        <v>471</v>
      </c>
      <c r="E40" s="22" t="s">
        <v>92</v>
      </c>
      <c r="F40" s="19" t="s">
        <v>41</v>
      </c>
      <c r="G40" s="25" t="s">
        <v>93</v>
      </c>
      <c r="H40" s="19" t="s">
        <v>41</v>
      </c>
      <c r="I40" s="43" t="s">
        <v>472</v>
      </c>
      <c r="J40" s="25">
        <v>30</v>
      </c>
      <c r="K40" s="25">
        <v>21.3</v>
      </c>
      <c r="L40" s="25">
        <v>21.3</v>
      </c>
      <c r="M40" s="143">
        <v>22.86</v>
      </c>
      <c r="N40" s="25">
        <v>22.86</v>
      </c>
      <c r="O40" s="339"/>
      <c r="P40" s="37">
        <v>0.8</v>
      </c>
      <c r="Q40" s="37">
        <f t="shared" si="0"/>
        <v>24</v>
      </c>
      <c r="R40" s="58">
        <v>9506999000</v>
      </c>
      <c r="S40" s="55">
        <v>2.7E-2</v>
      </c>
      <c r="T40" s="62" t="s">
        <v>473</v>
      </c>
      <c r="U40" s="62">
        <v>14.59</v>
      </c>
      <c r="V40" s="62">
        <v>0.66</v>
      </c>
      <c r="W40" s="63" t="s">
        <v>95</v>
      </c>
    </row>
    <row r="41" spans="1:23" s="3" customFormat="1" ht="18" customHeight="1">
      <c r="A41" s="15">
        <v>39</v>
      </c>
      <c r="B41" s="340" t="s">
        <v>96</v>
      </c>
      <c r="C41" s="26" t="s">
        <v>97</v>
      </c>
      <c r="D41" s="16" t="s">
        <v>474</v>
      </c>
      <c r="E41" s="22" t="s">
        <v>98</v>
      </c>
      <c r="F41" s="19" t="s">
        <v>41</v>
      </c>
      <c r="G41" s="27" t="s">
        <v>475</v>
      </c>
      <c r="H41" s="19" t="s">
        <v>41</v>
      </c>
      <c r="I41" s="44" t="s">
        <v>476</v>
      </c>
      <c r="J41" s="25">
        <v>29</v>
      </c>
      <c r="K41" s="25">
        <v>6.72</v>
      </c>
      <c r="L41" s="25">
        <v>6.72</v>
      </c>
      <c r="M41" s="143">
        <v>8.23</v>
      </c>
      <c r="N41" s="25">
        <v>8.23</v>
      </c>
      <c r="O41" s="339">
        <v>1</v>
      </c>
      <c r="P41" s="37">
        <v>0.8</v>
      </c>
      <c r="Q41" s="37">
        <f t="shared" si="0"/>
        <v>23.200000000000003</v>
      </c>
      <c r="R41" s="58">
        <v>3923309090</v>
      </c>
      <c r="S41" s="55">
        <v>6.5000000000000002E-2</v>
      </c>
      <c r="T41" s="62" t="s">
        <v>477</v>
      </c>
      <c r="U41" s="62">
        <v>10.99</v>
      </c>
      <c r="V41" s="62">
        <v>0.18</v>
      </c>
      <c r="W41" s="63" t="s">
        <v>101</v>
      </c>
    </row>
    <row r="42" spans="1:23" s="3" customFormat="1" ht="18" customHeight="1">
      <c r="A42" s="15">
        <v>40</v>
      </c>
      <c r="B42" s="340"/>
      <c r="C42" s="26" t="s">
        <v>102</v>
      </c>
      <c r="D42" s="16" t="s">
        <v>478</v>
      </c>
      <c r="E42" s="22" t="s">
        <v>103</v>
      </c>
      <c r="F42" s="19" t="s">
        <v>41</v>
      </c>
      <c r="G42" s="27" t="s">
        <v>479</v>
      </c>
      <c r="H42" s="19" t="s">
        <v>41</v>
      </c>
      <c r="I42" s="44" t="s">
        <v>476</v>
      </c>
      <c r="J42" s="25">
        <v>30</v>
      </c>
      <c r="K42" s="25">
        <v>9</v>
      </c>
      <c r="L42" s="25">
        <v>9</v>
      </c>
      <c r="M42" s="143">
        <v>10.56</v>
      </c>
      <c r="N42" s="25">
        <v>10.56</v>
      </c>
      <c r="O42" s="339"/>
      <c r="P42" s="37">
        <v>0.8</v>
      </c>
      <c r="Q42" s="37">
        <f t="shared" si="0"/>
        <v>24</v>
      </c>
      <c r="R42" s="58">
        <v>7323930090</v>
      </c>
      <c r="S42" s="55">
        <v>3.2000000000000001E-2</v>
      </c>
      <c r="T42" s="62"/>
      <c r="U42" s="62"/>
      <c r="V42" s="62"/>
      <c r="W42" s="63" t="s">
        <v>105</v>
      </c>
    </row>
    <row r="43" spans="1:23" s="3" customFormat="1" ht="18" customHeight="1">
      <c r="A43" s="15">
        <v>41</v>
      </c>
      <c r="B43" s="340" t="s">
        <v>106</v>
      </c>
      <c r="C43" s="26" t="s">
        <v>107</v>
      </c>
      <c r="D43" s="16" t="s">
        <v>480</v>
      </c>
      <c r="E43" s="22" t="s">
        <v>108</v>
      </c>
      <c r="F43" s="19" t="s">
        <v>41</v>
      </c>
      <c r="G43" s="25" t="s">
        <v>109</v>
      </c>
      <c r="H43" s="19" t="s">
        <v>41</v>
      </c>
      <c r="I43" s="44" t="s">
        <v>469</v>
      </c>
      <c r="J43" s="25">
        <v>30</v>
      </c>
      <c r="K43" s="25">
        <v>3.51</v>
      </c>
      <c r="L43" s="25">
        <v>3.51</v>
      </c>
      <c r="M43" s="143">
        <v>5.07</v>
      </c>
      <c r="N43" s="25">
        <v>5.07</v>
      </c>
      <c r="O43" s="339">
        <v>1</v>
      </c>
      <c r="P43" s="37">
        <v>0.8</v>
      </c>
      <c r="Q43" s="37">
        <f t="shared" si="0"/>
        <v>24</v>
      </c>
      <c r="R43" s="58">
        <v>8214200000</v>
      </c>
      <c r="S43" s="55">
        <v>2.7E-2</v>
      </c>
      <c r="T43" s="62" t="s">
        <v>481</v>
      </c>
      <c r="U43" s="62">
        <v>11.4</v>
      </c>
      <c r="V43" s="62">
        <v>6.7000000000000004E-2</v>
      </c>
      <c r="W43" s="63" t="s">
        <v>110</v>
      </c>
    </row>
    <row r="44" spans="1:23" s="3" customFormat="1" ht="18" customHeight="1">
      <c r="A44" s="15">
        <v>42</v>
      </c>
      <c r="B44" s="340"/>
      <c r="C44" s="26" t="s">
        <v>111</v>
      </c>
      <c r="D44" s="28" t="s">
        <v>482</v>
      </c>
      <c r="E44" s="29" t="s">
        <v>483</v>
      </c>
      <c r="F44" s="19" t="s">
        <v>41</v>
      </c>
      <c r="G44" s="25" t="s">
        <v>93</v>
      </c>
      <c r="H44" s="19" t="s">
        <v>41</v>
      </c>
      <c r="I44" s="44" t="s">
        <v>484</v>
      </c>
      <c r="J44" s="25">
        <v>30</v>
      </c>
      <c r="K44" s="25">
        <v>2.7</v>
      </c>
      <c r="L44" s="25">
        <v>2.7</v>
      </c>
      <c r="M44" s="143">
        <v>4.26</v>
      </c>
      <c r="N44" s="25">
        <v>4.26</v>
      </c>
      <c r="O44" s="339"/>
      <c r="P44" s="37">
        <v>0.8</v>
      </c>
      <c r="Q44" s="37">
        <f t="shared" si="0"/>
        <v>24</v>
      </c>
      <c r="R44" s="58">
        <v>9021109000</v>
      </c>
      <c r="S44" s="55">
        <v>0</v>
      </c>
      <c r="T44" s="62" t="s">
        <v>485</v>
      </c>
      <c r="U44" s="62">
        <v>10.26</v>
      </c>
      <c r="V44" s="62">
        <v>0.04</v>
      </c>
      <c r="W44" s="63" t="s">
        <v>114</v>
      </c>
    </row>
    <row r="45" spans="1:23" s="3" customFormat="1" ht="18" customHeight="1">
      <c r="A45" s="15">
        <v>43</v>
      </c>
      <c r="B45" s="340"/>
      <c r="C45" s="25" t="s">
        <v>115</v>
      </c>
      <c r="D45" s="16" t="s">
        <v>486</v>
      </c>
      <c r="E45" s="22" t="s">
        <v>116</v>
      </c>
      <c r="F45" s="19" t="s">
        <v>41</v>
      </c>
      <c r="G45" s="27" t="s">
        <v>487</v>
      </c>
      <c r="H45" s="19" t="s">
        <v>41</v>
      </c>
      <c r="I45" s="44" t="s">
        <v>484</v>
      </c>
      <c r="J45" s="25">
        <v>30</v>
      </c>
      <c r="K45" s="25">
        <v>4.08</v>
      </c>
      <c r="L45" s="25">
        <v>4.08</v>
      </c>
      <c r="M45" s="143">
        <v>5.64</v>
      </c>
      <c r="N45" s="25">
        <v>5.64</v>
      </c>
      <c r="O45" s="339"/>
      <c r="P45" s="37">
        <v>0.8</v>
      </c>
      <c r="Q45" s="37">
        <f t="shared" si="0"/>
        <v>24</v>
      </c>
      <c r="R45" s="58">
        <v>9506919000</v>
      </c>
      <c r="S45" s="55">
        <v>2.7E-2</v>
      </c>
      <c r="T45" s="62" t="s">
        <v>488</v>
      </c>
      <c r="U45" s="62">
        <v>11.99</v>
      </c>
      <c r="V45" s="62">
        <v>8.5999999999999993E-2</v>
      </c>
      <c r="W45" s="63" t="s">
        <v>118</v>
      </c>
    </row>
    <row r="46" spans="1:23" s="3" customFormat="1" ht="18" customHeight="1">
      <c r="A46" s="15">
        <v>44</v>
      </c>
      <c r="B46" s="340" t="s">
        <v>119</v>
      </c>
      <c r="C46" s="25" t="s">
        <v>120</v>
      </c>
      <c r="D46" s="30" t="s">
        <v>489</v>
      </c>
      <c r="E46" s="22" t="s">
        <v>121</v>
      </c>
      <c r="F46" s="19" t="s">
        <v>41</v>
      </c>
      <c r="G46" s="27" t="s">
        <v>490</v>
      </c>
      <c r="H46" s="19" t="s">
        <v>41</v>
      </c>
      <c r="I46" s="44" t="s">
        <v>484</v>
      </c>
      <c r="J46" s="25">
        <v>27</v>
      </c>
      <c r="K46" s="25">
        <v>2.04</v>
      </c>
      <c r="L46" s="25">
        <v>2.04</v>
      </c>
      <c r="M46" s="143">
        <v>3.45</v>
      </c>
      <c r="N46" s="25">
        <v>3.45</v>
      </c>
      <c r="O46" s="339">
        <v>1</v>
      </c>
      <c r="P46" s="37">
        <v>0.8</v>
      </c>
      <c r="Q46" s="37">
        <f t="shared" si="0"/>
        <v>21.6</v>
      </c>
      <c r="R46" s="58" t="s">
        <v>491</v>
      </c>
      <c r="S46" s="55">
        <v>2.7E-2</v>
      </c>
      <c r="T46" s="62" t="s">
        <v>492</v>
      </c>
      <c r="U46" s="62"/>
      <c r="V46" s="62">
        <v>0.02</v>
      </c>
      <c r="W46" s="63" t="s">
        <v>123</v>
      </c>
    </row>
    <row r="47" spans="1:23" s="3" customFormat="1" ht="18" customHeight="1">
      <c r="A47" s="15">
        <v>45</v>
      </c>
      <c r="B47" s="340"/>
      <c r="C47" s="26" t="s">
        <v>124</v>
      </c>
      <c r="D47" s="16" t="s">
        <v>493</v>
      </c>
      <c r="E47" s="22" t="s">
        <v>125</v>
      </c>
      <c r="F47" s="19" t="s">
        <v>41</v>
      </c>
      <c r="G47" s="27" t="s">
        <v>494</v>
      </c>
      <c r="H47" s="19" t="s">
        <v>41</v>
      </c>
      <c r="I47" s="44" t="s">
        <v>484</v>
      </c>
      <c r="J47" s="25">
        <v>20</v>
      </c>
      <c r="K47" s="25">
        <v>12.3</v>
      </c>
      <c r="L47" s="25">
        <v>12.3</v>
      </c>
      <c r="M47" s="143">
        <v>13.34</v>
      </c>
      <c r="N47" s="25">
        <v>13.34</v>
      </c>
      <c r="O47" s="339"/>
      <c r="P47" s="37">
        <v>0.8</v>
      </c>
      <c r="Q47" s="37">
        <f t="shared" si="0"/>
        <v>16</v>
      </c>
      <c r="R47" s="58">
        <v>6304990099</v>
      </c>
      <c r="S47" s="55">
        <v>0.12</v>
      </c>
      <c r="T47" s="54" t="s">
        <v>495</v>
      </c>
      <c r="U47" s="54">
        <v>14.98</v>
      </c>
      <c r="V47" s="54">
        <v>0.54</v>
      </c>
      <c r="W47" s="64" t="s">
        <v>127</v>
      </c>
    </row>
    <row r="48" spans="1:23" s="3" customFormat="1" ht="18" customHeight="1">
      <c r="A48" s="15">
        <v>46</v>
      </c>
      <c r="B48" s="340"/>
      <c r="C48" s="26" t="s">
        <v>128</v>
      </c>
      <c r="D48" s="17" t="s">
        <v>426</v>
      </c>
      <c r="E48" s="22" t="s">
        <v>40</v>
      </c>
      <c r="F48" s="19" t="s">
        <v>41</v>
      </c>
      <c r="G48" s="27" t="s">
        <v>487</v>
      </c>
      <c r="H48" s="19" t="s">
        <v>41</v>
      </c>
      <c r="I48" s="44" t="s">
        <v>496</v>
      </c>
      <c r="J48" s="25">
        <v>30</v>
      </c>
      <c r="K48" s="45">
        <v>17.7</v>
      </c>
      <c r="L48" s="45">
        <v>4.5</v>
      </c>
      <c r="M48" s="26">
        <v>4.5</v>
      </c>
      <c r="N48" s="26">
        <v>4.5</v>
      </c>
      <c r="O48" s="339"/>
      <c r="P48" s="37">
        <v>0.55000000000000004</v>
      </c>
      <c r="Q48" s="37">
        <f t="shared" si="0"/>
        <v>16.5</v>
      </c>
      <c r="R48" s="58">
        <v>6207999099</v>
      </c>
      <c r="S48" s="55">
        <v>0.12</v>
      </c>
      <c r="T48" s="62" t="s">
        <v>497</v>
      </c>
      <c r="U48" s="62"/>
      <c r="V48" s="62">
        <v>0.54</v>
      </c>
      <c r="W48" s="63" t="s">
        <v>131</v>
      </c>
    </row>
    <row r="49" spans="1:23" s="3" customFormat="1" ht="18" customHeight="1">
      <c r="A49" s="15">
        <v>47</v>
      </c>
      <c r="B49" s="340" t="s">
        <v>132</v>
      </c>
      <c r="C49" s="26" t="s">
        <v>133</v>
      </c>
      <c r="D49" s="16" t="s">
        <v>498</v>
      </c>
      <c r="E49" s="22" t="s">
        <v>134</v>
      </c>
      <c r="F49" s="19" t="s">
        <v>41</v>
      </c>
      <c r="G49" s="27" t="s">
        <v>499</v>
      </c>
      <c r="H49" s="19" t="s">
        <v>41</v>
      </c>
      <c r="I49" s="44" t="s">
        <v>469</v>
      </c>
      <c r="J49" s="25">
        <v>30</v>
      </c>
      <c r="K49" s="25">
        <v>9.9</v>
      </c>
      <c r="L49" s="25">
        <v>9.9</v>
      </c>
      <c r="M49" s="143">
        <v>11.46</v>
      </c>
      <c r="N49" s="26">
        <v>11.46</v>
      </c>
      <c r="O49" s="339">
        <v>1</v>
      </c>
      <c r="P49" s="37">
        <v>0.8</v>
      </c>
      <c r="Q49" s="37">
        <f t="shared" si="0"/>
        <v>24</v>
      </c>
      <c r="R49" s="58">
        <v>7319909000</v>
      </c>
      <c r="S49" s="55">
        <v>2.7E-2</v>
      </c>
      <c r="T49" s="62" t="s">
        <v>500</v>
      </c>
      <c r="U49" s="62"/>
      <c r="V49" s="62">
        <v>0.28000000000000003</v>
      </c>
      <c r="W49" s="63" t="s">
        <v>136</v>
      </c>
    </row>
    <row r="50" spans="1:23" s="3" customFormat="1" ht="18" customHeight="1">
      <c r="A50" s="15">
        <v>48</v>
      </c>
      <c r="B50" s="340"/>
      <c r="C50" s="26" t="s">
        <v>124</v>
      </c>
      <c r="D50" s="16" t="s">
        <v>493</v>
      </c>
      <c r="E50" s="22" t="s">
        <v>125</v>
      </c>
      <c r="F50" s="19" t="s">
        <v>41</v>
      </c>
      <c r="G50" s="27" t="s">
        <v>494</v>
      </c>
      <c r="H50" s="19" t="s">
        <v>41</v>
      </c>
      <c r="I50" s="44" t="s">
        <v>484</v>
      </c>
      <c r="J50" s="25">
        <v>10</v>
      </c>
      <c r="K50" s="25">
        <v>6.9</v>
      </c>
      <c r="L50" s="25">
        <v>6.9</v>
      </c>
      <c r="M50" s="143">
        <v>7.42</v>
      </c>
      <c r="N50" s="26">
        <v>7.42</v>
      </c>
      <c r="O50" s="339"/>
      <c r="P50" s="37">
        <v>0.8</v>
      </c>
      <c r="Q50" s="37">
        <f t="shared" si="0"/>
        <v>8</v>
      </c>
      <c r="R50" s="58">
        <v>6304990099</v>
      </c>
      <c r="S50" s="55">
        <v>0.12</v>
      </c>
      <c r="T50" s="54" t="s">
        <v>495</v>
      </c>
      <c r="U50" s="54">
        <v>14.98</v>
      </c>
      <c r="V50" s="54">
        <v>0.54</v>
      </c>
      <c r="W50" s="25" t="s">
        <v>127</v>
      </c>
    </row>
    <row r="51" spans="1:23" s="3" customFormat="1" ht="18" customHeight="1">
      <c r="A51" s="15">
        <v>49</v>
      </c>
      <c r="B51" s="340"/>
      <c r="C51" s="26" t="s">
        <v>137</v>
      </c>
      <c r="D51" s="28" t="s">
        <v>482</v>
      </c>
      <c r="E51" s="29" t="s">
        <v>483</v>
      </c>
      <c r="F51" s="19" t="s">
        <v>41</v>
      </c>
      <c r="G51" s="27" t="s">
        <v>501</v>
      </c>
      <c r="H51" s="19" t="s">
        <v>41</v>
      </c>
      <c r="I51" s="44" t="s">
        <v>484</v>
      </c>
      <c r="J51" s="25">
        <v>26</v>
      </c>
      <c r="K51" s="25">
        <v>4.0999999999999996</v>
      </c>
      <c r="L51" s="25">
        <v>4.0999999999999996</v>
      </c>
      <c r="M51" s="143">
        <v>5.45</v>
      </c>
      <c r="N51" s="26">
        <v>5.45</v>
      </c>
      <c r="O51" s="339"/>
      <c r="P51" s="37">
        <v>0.8</v>
      </c>
      <c r="Q51" s="37">
        <f t="shared" si="0"/>
        <v>20.8</v>
      </c>
      <c r="R51" s="58">
        <v>9021109000</v>
      </c>
      <c r="S51" s="55">
        <v>0</v>
      </c>
      <c r="T51" s="62" t="s">
        <v>502</v>
      </c>
      <c r="U51" s="62">
        <v>11.99</v>
      </c>
      <c r="V51" s="62">
        <v>0.1</v>
      </c>
      <c r="W51" s="63" t="s">
        <v>140</v>
      </c>
    </row>
    <row r="52" spans="1:23" s="3" customFormat="1" ht="18" customHeight="1">
      <c r="A52" s="15">
        <v>50</v>
      </c>
      <c r="B52" s="25" t="s">
        <v>141</v>
      </c>
      <c r="C52" s="26" t="s">
        <v>128</v>
      </c>
      <c r="D52" s="17" t="s">
        <v>426</v>
      </c>
      <c r="E52" s="22" t="s">
        <v>40</v>
      </c>
      <c r="F52" s="19" t="s">
        <v>41</v>
      </c>
      <c r="G52" s="27" t="s">
        <v>487</v>
      </c>
      <c r="H52" s="19" t="s">
        <v>41</v>
      </c>
      <c r="I52" s="44" t="s">
        <v>496</v>
      </c>
      <c r="J52" s="25">
        <v>30</v>
      </c>
      <c r="K52" s="45">
        <v>7.5</v>
      </c>
      <c r="L52" s="45">
        <v>4.5</v>
      </c>
      <c r="M52" s="26">
        <v>4.5</v>
      </c>
      <c r="N52" s="26">
        <v>4.5</v>
      </c>
      <c r="O52" s="26">
        <v>1</v>
      </c>
      <c r="P52" s="37">
        <v>0.55000000000000004</v>
      </c>
      <c r="Q52" s="37">
        <f t="shared" si="0"/>
        <v>16.5</v>
      </c>
      <c r="R52" s="58">
        <v>6207999099</v>
      </c>
      <c r="S52" s="55">
        <v>0.12</v>
      </c>
      <c r="T52" s="62" t="s">
        <v>503</v>
      </c>
      <c r="U52" s="62"/>
      <c r="V52" s="62">
        <v>0.2</v>
      </c>
      <c r="W52" s="63" t="s">
        <v>142</v>
      </c>
    </row>
    <row r="53" spans="1:23" s="3" customFormat="1" ht="18" customHeight="1">
      <c r="A53" s="15">
        <v>51</v>
      </c>
      <c r="B53" s="340" t="s">
        <v>143</v>
      </c>
      <c r="C53" s="26" t="s">
        <v>144</v>
      </c>
      <c r="D53" s="16" t="s">
        <v>504</v>
      </c>
      <c r="E53" s="22" t="s">
        <v>145</v>
      </c>
      <c r="F53" s="19" t="s">
        <v>41</v>
      </c>
      <c r="G53" s="27" t="s">
        <v>499</v>
      </c>
      <c r="H53" s="19" t="s">
        <v>41</v>
      </c>
      <c r="I53" s="44" t="s">
        <v>476</v>
      </c>
      <c r="J53" s="25">
        <v>30</v>
      </c>
      <c r="K53" s="25">
        <v>9</v>
      </c>
      <c r="L53" s="25">
        <v>9</v>
      </c>
      <c r="M53" s="143">
        <v>10.56</v>
      </c>
      <c r="N53" s="26">
        <v>10.56</v>
      </c>
      <c r="O53" s="339">
        <v>1</v>
      </c>
      <c r="P53" s="37">
        <v>0.8</v>
      </c>
      <c r="Q53" s="37">
        <f t="shared" si="0"/>
        <v>24</v>
      </c>
      <c r="R53" s="58">
        <v>7323930090</v>
      </c>
      <c r="S53" s="55">
        <v>3.2000000000000001E-2</v>
      </c>
      <c r="T53" s="62"/>
      <c r="U53" s="62"/>
      <c r="V53" s="62"/>
      <c r="W53" s="63" t="s">
        <v>146</v>
      </c>
    </row>
    <row r="54" spans="1:23" s="3" customFormat="1" ht="18" customHeight="1">
      <c r="A54" s="15">
        <v>52</v>
      </c>
      <c r="B54" s="340"/>
      <c r="C54" s="26" t="s">
        <v>147</v>
      </c>
      <c r="D54" s="16" t="s">
        <v>505</v>
      </c>
      <c r="E54" s="22" t="s">
        <v>148</v>
      </c>
      <c r="F54" s="19" t="s">
        <v>41</v>
      </c>
      <c r="G54" s="27" t="s">
        <v>506</v>
      </c>
      <c r="H54" s="19" t="s">
        <v>41</v>
      </c>
      <c r="I54" s="44" t="s">
        <v>472</v>
      </c>
      <c r="J54" s="25">
        <v>27</v>
      </c>
      <c r="K54" s="25">
        <v>2.58</v>
      </c>
      <c r="L54" s="25">
        <v>2.58</v>
      </c>
      <c r="M54" s="143">
        <v>3.99</v>
      </c>
      <c r="N54" s="26">
        <v>3.99</v>
      </c>
      <c r="O54" s="339"/>
      <c r="P54" s="37">
        <v>0.8</v>
      </c>
      <c r="Q54" s="37">
        <f t="shared" si="0"/>
        <v>21.6</v>
      </c>
      <c r="R54" s="58">
        <v>5908000000</v>
      </c>
      <c r="S54" s="55">
        <v>5.6000000000000001E-2</v>
      </c>
      <c r="T54" s="62" t="s">
        <v>507</v>
      </c>
      <c r="U54" s="62">
        <v>8.99</v>
      </c>
      <c r="V54" s="62">
        <v>0.04</v>
      </c>
      <c r="W54" s="63" t="s">
        <v>150</v>
      </c>
    </row>
    <row r="55" spans="1:23" s="3" customFormat="1" ht="18" customHeight="1">
      <c r="A55" s="15">
        <v>53</v>
      </c>
      <c r="B55" s="340"/>
      <c r="C55" s="26" t="s">
        <v>151</v>
      </c>
      <c r="D55" s="16" t="s">
        <v>508</v>
      </c>
      <c r="E55" s="22" t="s">
        <v>152</v>
      </c>
      <c r="F55" s="19" t="s">
        <v>41</v>
      </c>
      <c r="G55" s="27" t="s">
        <v>487</v>
      </c>
      <c r="H55" s="19" t="s">
        <v>41</v>
      </c>
      <c r="I55" s="44" t="s">
        <v>484</v>
      </c>
      <c r="J55" s="25">
        <v>30</v>
      </c>
      <c r="K55" s="25">
        <v>6</v>
      </c>
      <c r="L55" s="25">
        <v>6</v>
      </c>
      <c r="M55" s="143">
        <v>7.56</v>
      </c>
      <c r="N55" s="26">
        <v>7.56</v>
      </c>
      <c r="O55" s="339"/>
      <c r="P55" s="37">
        <v>0.8</v>
      </c>
      <c r="Q55" s="37">
        <f t="shared" si="0"/>
        <v>24</v>
      </c>
      <c r="R55" s="58">
        <v>9021109000</v>
      </c>
      <c r="S55" s="55">
        <v>0</v>
      </c>
      <c r="T55" s="62" t="s">
        <v>509</v>
      </c>
      <c r="U55" s="62">
        <v>13.66</v>
      </c>
      <c r="V55" s="62">
        <v>0.15</v>
      </c>
      <c r="W55" s="63" t="s">
        <v>153</v>
      </c>
    </row>
    <row r="56" spans="1:23" s="3" customFormat="1" ht="18" customHeight="1">
      <c r="A56" s="15">
        <v>54</v>
      </c>
      <c r="B56" s="25" t="s">
        <v>154</v>
      </c>
      <c r="C56" s="26" t="s">
        <v>155</v>
      </c>
      <c r="D56" s="17" t="s">
        <v>426</v>
      </c>
      <c r="E56" s="22" t="s">
        <v>40</v>
      </c>
      <c r="F56" s="19" t="s">
        <v>41</v>
      </c>
      <c r="G56" s="27" t="s">
        <v>487</v>
      </c>
      <c r="H56" s="19" t="s">
        <v>41</v>
      </c>
      <c r="I56" s="44" t="s">
        <v>484</v>
      </c>
      <c r="J56" s="25">
        <v>30</v>
      </c>
      <c r="K56" s="45">
        <v>7.5</v>
      </c>
      <c r="L56" s="45">
        <v>4.5</v>
      </c>
      <c r="M56" s="26">
        <v>4.5</v>
      </c>
      <c r="N56" s="26">
        <v>4.5</v>
      </c>
      <c r="O56" s="26">
        <v>1</v>
      </c>
      <c r="P56" s="37">
        <v>0.55000000000000004</v>
      </c>
      <c r="Q56" s="37">
        <f t="shared" si="0"/>
        <v>16.5</v>
      </c>
      <c r="R56" s="58">
        <v>6207999099</v>
      </c>
      <c r="S56" s="55">
        <v>0.12</v>
      </c>
      <c r="T56" s="62" t="s">
        <v>510</v>
      </c>
      <c r="U56" s="62">
        <v>10.19</v>
      </c>
      <c r="V56" s="62">
        <v>0.2</v>
      </c>
      <c r="W56" s="63" t="s">
        <v>157</v>
      </c>
    </row>
    <row r="57" spans="1:23" s="3" customFormat="1" ht="18" customHeight="1">
      <c r="A57" s="15">
        <v>55</v>
      </c>
      <c r="B57" s="340" t="s">
        <v>158</v>
      </c>
      <c r="C57" s="26" t="s">
        <v>159</v>
      </c>
      <c r="D57" s="16" t="s">
        <v>511</v>
      </c>
      <c r="E57" s="22" t="s">
        <v>164</v>
      </c>
      <c r="F57" s="19" t="s">
        <v>41</v>
      </c>
      <c r="G57" s="27" t="s">
        <v>487</v>
      </c>
      <c r="H57" s="19" t="s">
        <v>41</v>
      </c>
      <c r="I57" s="44" t="s">
        <v>484</v>
      </c>
      <c r="J57" s="25">
        <v>30</v>
      </c>
      <c r="K57" s="25">
        <v>2.46</v>
      </c>
      <c r="L57" s="25">
        <v>2.46</v>
      </c>
      <c r="M57" s="143">
        <v>4.0199999999999996</v>
      </c>
      <c r="N57" s="26">
        <v>4.0199999999999996</v>
      </c>
      <c r="O57" s="339">
        <v>1</v>
      </c>
      <c r="P57" s="37">
        <v>0.8</v>
      </c>
      <c r="Q57" s="37">
        <f t="shared" si="0"/>
        <v>24</v>
      </c>
      <c r="R57" s="58">
        <v>9506919000</v>
      </c>
      <c r="S57" s="55">
        <v>2.7E-2</v>
      </c>
      <c r="T57" s="62" t="s">
        <v>512</v>
      </c>
      <c r="U57" s="62">
        <v>8.8800000000000008</v>
      </c>
      <c r="V57" s="62">
        <v>3.2000000000000001E-2</v>
      </c>
      <c r="W57" s="63" t="s">
        <v>161</v>
      </c>
    </row>
    <row r="58" spans="1:23" s="3" customFormat="1" ht="18" customHeight="1">
      <c r="A58" s="15">
        <v>56</v>
      </c>
      <c r="B58" s="340"/>
      <c r="C58" s="26" t="s">
        <v>91</v>
      </c>
      <c r="D58" s="16" t="s">
        <v>471</v>
      </c>
      <c r="E58" s="22" t="s">
        <v>92</v>
      </c>
      <c r="F58" s="19" t="s">
        <v>41</v>
      </c>
      <c r="G58" s="25" t="s">
        <v>93</v>
      </c>
      <c r="H58" s="19" t="s">
        <v>41</v>
      </c>
      <c r="I58" s="44" t="s">
        <v>472</v>
      </c>
      <c r="J58" s="25">
        <v>29</v>
      </c>
      <c r="K58" s="25">
        <v>20.64</v>
      </c>
      <c r="L58" s="25">
        <v>20.64</v>
      </c>
      <c r="M58" s="143">
        <v>22.15</v>
      </c>
      <c r="N58" s="26">
        <v>22.15</v>
      </c>
      <c r="O58" s="339"/>
      <c r="P58" s="37">
        <v>0.8</v>
      </c>
      <c r="Q58" s="37">
        <f t="shared" si="0"/>
        <v>23.200000000000003</v>
      </c>
      <c r="R58" s="58">
        <v>9506999000</v>
      </c>
      <c r="S58" s="55">
        <v>2.7E-2</v>
      </c>
      <c r="T58" s="62" t="s">
        <v>473</v>
      </c>
      <c r="U58" s="62">
        <v>14.59</v>
      </c>
      <c r="V58" s="62">
        <v>0.66</v>
      </c>
      <c r="W58" s="25" t="s">
        <v>162</v>
      </c>
    </row>
    <row r="59" spans="1:23" s="3" customFormat="1" ht="18" customHeight="1">
      <c r="A59" s="15">
        <v>57</v>
      </c>
      <c r="B59" s="340"/>
      <c r="C59" s="26" t="s">
        <v>163</v>
      </c>
      <c r="D59" s="16" t="s">
        <v>513</v>
      </c>
      <c r="E59" s="22" t="s">
        <v>514</v>
      </c>
      <c r="F59" s="19" t="s">
        <v>41</v>
      </c>
      <c r="G59" s="27" t="s">
        <v>515</v>
      </c>
      <c r="H59" s="19" t="s">
        <v>41</v>
      </c>
      <c r="I59" s="44" t="s">
        <v>484</v>
      </c>
      <c r="J59" s="25">
        <v>30</v>
      </c>
      <c r="K59" s="25">
        <v>3.96</v>
      </c>
      <c r="L59" s="25">
        <v>3.96</v>
      </c>
      <c r="M59" s="143">
        <v>5.52</v>
      </c>
      <c r="N59" s="25">
        <v>5.52</v>
      </c>
      <c r="O59" s="339"/>
      <c r="P59" s="37">
        <v>0.8</v>
      </c>
      <c r="Q59" s="37">
        <f t="shared" si="0"/>
        <v>24</v>
      </c>
      <c r="R59" s="58">
        <v>9506919000</v>
      </c>
      <c r="S59" s="55">
        <v>2.7E-2</v>
      </c>
      <c r="T59" s="62" t="s">
        <v>516</v>
      </c>
      <c r="U59" s="62">
        <v>6.99</v>
      </c>
      <c r="V59" s="62">
        <v>8.2000000000000003E-2</v>
      </c>
      <c r="W59" s="63" t="s">
        <v>166</v>
      </c>
    </row>
    <row r="60" spans="1:23" s="3" customFormat="1" ht="18" customHeight="1">
      <c r="A60" s="15">
        <v>58</v>
      </c>
      <c r="B60" s="25" t="s">
        <v>167</v>
      </c>
      <c r="C60" s="26" t="s">
        <v>124</v>
      </c>
      <c r="D60" s="16" t="s">
        <v>493</v>
      </c>
      <c r="E60" s="22" t="s">
        <v>125</v>
      </c>
      <c r="F60" s="19" t="s">
        <v>41</v>
      </c>
      <c r="G60" s="27" t="s">
        <v>517</v>
      </c>
      <c r="H60" s="19" t="s">
        <v>41</v>
      </c>
      <c r="I60" s="44" t="s">
        <v>484</v>
      </c>
      <c r="J60" s="25">
        <v>15</v>
      </c>
      <c r="K60" s="25">
        <v>9.6</v>
      </c>
      <c r="L60" s="25">
        <v>9.6</v>
      </c>
      <c r="M60" s="143">
        <v>10.38</v>
      </c>
      <c r="N60" s="25">
        <v>10.38</v>
      </c>
      <c r="O60" s="26">
        <v>1</v>
      </c>
      <c r="P60" s="37">
        <v>0.8</v>
      </c>
      <c r="Q60" s="37">
        <f t="shared" si="0"/>
        <v>12</v>
      </c>
      <c r="R60" s="58">
        <v>6304990099</v>
      </c>
      <c r="S60" s="55">
        <v>0.12</v>
      </c>
      <c r="T60" s="54" t="s">
        <v>495</v>
      </c>
      <c r="U60" s="54">
        <v>14.98</v>
      </c>
      <c r="V60" s="54">
        <v>0.54</v>
      </c>
      <c r="W60" s="25" t="s">
        <v>127</v>
      </c>
    </row>
    <row r="61" spans="1:23" s="3" customFormat="1" ht="18" customHeight="1">
      <c r="A61" s="15">
        <v>59</v>
      </c>
      <c r="B61" s="25" t="s">
        <v>169</v>
      </c>
      <c r="C61" s="26" t="s">
        <v>124</v>
      </c>
      <c r="D61" s="16" t="s">
        <v>493</v>
      </c>
      <c r="E61" s="22" t="s">
        <v>125</v>
      </c>
      <c r="F61" s="19" t="s">
        <v>41</v>
      </c>
      <c r="G61" s="27" t="s">
        <v>517</v>
      </c>
      <c r="H61" s="19" t="s">
        <v>41</v>
      </c>
      <c r="I61" s="44" t="s">
        <v>484</v>
      </c>
      <c r="J61" s="25">
        <v>15</v>
      </c>
      <c r="K61" s="25">
        <v>9.6</v>
      </c>
      <c r="L61" s="25">
        <v>9.6</v>
      </c>
      <c r="M61" s="143">
        <v>10.38</v>
      </c>
      <c r="N61" s="25">
        <v>10.38</v>
      </c>
      <c r="O61" s="26">
        <v>1</v>
      </c>
      <c r="P61" s="37">
        <v>0.8</v>
      </c>
      <c r="Q61" s="37">
        <f t="shared" si="0"/>
        <v>12</v>
      </c>
      <c r="R61" s="58">
        <v>6304990099</v>
      </c>
      <c r="S61" s="55">
        <v>0.12</v>
      </c>
      <c r="T61" s="54" t="s">
        <v>495</v>
      </c>
      <c r="U61" s="54">
        <v>14.98</v>
      </c>
      <c r="V61" s="54">
        <v>0.54</v>
      </c>
      <c r="W61" s="25" t="s">
        <v>127</v>
      </c>
    </row>
    <row r="62" spans="1:23" s="3" customFormat="1" ht="18" customHeight="1">
      <c r="A62" s="15">
        <v>60</v>
      </c>
      <c r="B62" s="25" t="s">
        <v>170</v>
      </c>
      <c r="C62" s="26" t="s">
        <v>124</v>
      </c>
      <c r="D62" s="16" t="s">
        <v>493</v>
      </c>
      <c r="E62" s="18" t="s">
        <v>125</v>
      </c>
      <c r="F62" s="19" t="s">
        <v>41</v>
      </c>
      <c r="G62" s="27" t="s">
        <v>518</v>
      </c>
      <c r="H62" s="19" t="s">
        <v>41</v>
      </c>
      <c r="I62" s="44" t="s">
        <v>484</v>
      </c>
      <c r="J62" s="25">
        <v>22</v>
      </c>
      <c r="K62" s="25">
        <v>13.38</v>
      </c>
      <c r="L62" s="25">
        <v>13.38</v>
      </c>
      <c r="M62" s="143">
        <v>14.53</v>
      </c>
      <c r="N62" s="25">
        <v>14.53</v>
      </c>
      <c r="O62" s="26">
        <v>1</v>
      </c>
      <c r="P62" s="37">
        <v>0.8</v>
      </c>
      <c r="Q62" s="37">
        <f t="shared" si="0"/>
        <v>17.600000000000001</v>
      </c>
      <c r="R62" s="58">
        <v>6304990099</v>
      </c>
      <c r="S62" s="55">
        <v>0.12</v>
      </c>
      <c r="T62" s="54" t="s">
        <v>495</v>
      </c>
      <c r="U62" s="54">
        <v>14.98</v>
      </c>
      <c r="V62" s="54">
        <v>0.54</v>
      </c>
      <c r="W62" s="25" t="s">
        <v>127</v>
      </c>
    </row>
    <row r="63" spans="1:23" s="3" customFormat="1" ht="18" customHeight="1">
      <c r="A63" s="15">
        <v>61</v>
      </c>
      <c r="B63" s="25" t="s">
        <v>172</v>
      </c>
      <c r="C63" s="26" t="s">
        <v>124</v>
      </c>
      <c r="D63" s="16" t="s">
        <v>493</v>
      </c>
      <c r="E63" s="22" t="s">
        <v>125</v>
      </c>
      <c r="F63" s="19" t="s">
        <v>41</v>
      </c>
      <c r="G63" s="27" t="s">
        <v>518</v>
      </c>
      <c r="H63" s="19" t="s">
        <v>41</v>
      </c>
      <c r="I63" s="44" t="s">
        <v>484</v>
      </c>
      <c r="J63" s="25">
        <v>22</v>
      </c>
      <c r="K63" s="25">
        <v>13.38</v>
      </c>
      <c r="L63" s="25">
        <v>13.38</v>
      </c>
      <c r="M63" s="143">
        <v>14.53</v>
      </c>
      <c r="N63" s="25">
        <v>14.53</v>
      </c>
      <c r="O63" s="26">
        <v>1</v>
      </c>
      <c r="P63" s="37">
        <v>0.8</v>
      </c>
      <c r="Q63" s="37">
        <f t="shared" si="0"/>
        <v>17.600000000000001</v>
      </c>
      <c r="R63" s="58">
        <v>6304990099</v>
      </c>
      <c r="S63" s="55">
        <v>0.12</v>
      </c>
      <c r="T63" s="54" t="s">
        <v>495</v>
      </c>
      <c r="U63" s="54">
        <v>14.98</v>
      </c>
      <c r="V63" s="54">
        <v>0.54</v>
      </c>
      <c r="W63" s="25" t="s">
        <v>127</v>
      </c>
    </row>
    <row r="64" spans="1:23" s="3" customFormat="1" ht="18" customHeight="1">
      <c r="A64" s="15">
        <v>62</v>
      </c>
      <c r="B64" s="340" t="s">
        <v>173</v>
      </c>
      <c r="C64" s="26" t="s">
        <v>174</v>
      </c>
      <c r="D64" s="28" t="s">
        <v>482</v>
      </c>
      <c r="E64" s="29" t="s">
        <v>483</v>
      </c>
      <c r="F64" s="19" t="s">
        <v>41</v>
      </c>
      <c r="G64" s="27" t="s">
        <v>487</v>
      </c>
      <c r="H64" s="19" t="s">
        <v>41</v>
      </c>
      <c r="I64" s="44" t="s">
        <v>484</v>
      </c>
      <c r="J64" s="25">
        <v>30</v>
      </c>
      <c r="K64" s="25">
        <v>2.7</v>
      </c>
      <c r="L64" s="25">
        <v>2.7</v>
      </c>
      <c r="M64" s="143">
        <v>4.26</v>
      </c>
      <c r="N64" s="25">
        <v>4.26</v>
      </c>
      <c r="O64" s="339">
        <v>1</v>
      </c>
      <c r="P64" s="37">
        <v>0.8</v>
      </c>
      <c r="Q64" s="37">
        <f t="shared" si="0"/>
        <v>24</v>
      </c>
      <c r="R64" s="58">
        <v>9021109000</v>
      </c>
      <c r="S64" s="55">
        <v>0</v>
      </c>
      <c r="T64" s="62" t="s">
        <v>519</v>
      </c>
      <c r="U64" s="62">
        <v>8.99</v>
      </c>
      <c r="V64" s="62">
        <v>0.04</v>
      </c>
      <c r="W64" s="63" t="s">
        <v>176</v>
      </c>
    </row>
    <row r="65" spans="1:23" s="3" customFormat="1" ht="18" customHeight="1">
      <c r="A65" s="15">
        <v>63</v>
      </c>
      <c r="B65" s="340"/>
      <c r="C65" s="26" t="s">
        <v>177</v>
      </c>
      <c r="D65" s="65" t="s">
        <v>520</v>
      </c>
      <c r="E65" s="66" t="s">
        <v>521</v>
      </c>
      <c r="F65" s="19" t="s">
        <v>41</v>
      </c>
      <c r="G65" s="27" t="s">
        <v>475</v>
      </c>
      <c r="H65" s="19" t="s">
        <v>41</v>
      </c>
      <c r="I65" s="44" t="s">
        <v>472</v>
      </c>
      <c r="J65" s="25">
        <v>2</v>
      </c>
      <c r="K65" s="25">
        <v>1.8</v>
      </c>
      <c r="L65" s="25">
        <v>1.8</v>
      </c>
      <c r="M65" s="143">
        <v>1.9</v>
      </c>
      <c r="N65" s="25">
        <v>1.9</v>
      </c>
      <c r="O65" s="339"/>
      <c r="P65" s="37">
        <v>0.8</v>
      </c>
      <c r="Q65" s="37">
        <f t="shared" si="0"/>
        <v>1.6</v>
      </c>
      <c r="R65" s="58">
        <v>3926909790</v>
      </c>
      <c r="S65" s="55">
        <v>6.5000000000000002E-2</v>
      </c>
      <c r="T65" s="62" t="s">
        <v>522</v>
      </c>
      <c r="U65" s="62">
        <v>21.99</v>
      </c>
      <c r="V65" s="62">
        <v>0.15</v>
      </c>
      <c r="W65" s="63" t="s">
        <v>179</v>
      </c>
    </row>
    <row r="66" spans="1:23" s="3" customFormat="1" ht="18" customHeight="1">
      <c r="A66" s="15">
        <v>64</v>
      </c>
      <c r="B66" s="340"/>
      <c r="C66" s="26" t="s">
        <v>180</v>
      </c>
      <c r="D66" s="67" t="s">
        <v>523</v>
      </c>
      <c r="E66" s="22" t="s">
        <v>181</v>
      </c>
      <c r="F66" s="19" t="s">
        <v>41</v>
      </c>
      <c r="G66" s="27" t="s">
        <v>524</v>
      </c>
      <c r="H66" s="19" t="s">
        <v>41</v>
      </c>
      <c r="I66" s="44" t="s">
        <v>484</v>
      </c>
      <c r="J66" s="25">
        <v>30</v>
      </c>
      <c r="K66" s="25">
        <v>4.5</v>
      </c>
      <c r="L66" s="25">
        <v>4.5</v>
      </c>
      <c r="M66" s="143">
        <v>6.06</v>
      </c>
      <c r="N66" s="25">
        <v>6.06</v>
      </c>
      <c r="O66" s="339"/>
      <c r="P66" s="37">
        <v>0.8</v>
      </c>
      <c r="Q66" s="37">
        <f t="shared" si="0"/>
        <v>24</v>
      </c>
      <c r="R66" s="58">
        <v>9021109000</v>
      </c>
      <c r="S66" s="55">
        <v>0</v>
      </c>
      <c r="T66" s="62" t="s">
        <v>525</v>
      </c>
      <c r="U66" s="62">
        <v>12.99</v>
      </c>
      <c r="V66" s="62">
        <v>0.1</v>
      </c>
      <c r="W66" s="63" t="s">
        <v>183</v>
      </c>
    </row>
    <row r="67" spans="1:23" s="3" customFormat="1" ht="18" customHeight="1">
      <c r="A67" s="15">
        <v>65</v>
      </c>
      <c r="B67" s="25" t="s">
        <v>184</v>
      </c>
      <c r="C67" s="26" t="s">
        <v>177</v>
      </c>
      <c r="D67" s="65" t="s">
        <v>520</v>
      </c>
      <c r="E67" s="66" t="s">
        <v>521</v>
      </c>
      <c r="F67" s="19" t="s">
        <v>41</v>
      </c>
      <c r="G67" s="27" t="s">
        <v>475</v>
      </c>
      <c r="H67" s="19" t="s">
        <v>41</v>
      </c>
      <c r="I67" s="44" t="s">
        <v>472</v>
      </c>
      <c r="J67" s="25">
        <v>28</v>
      </c>
      <c r="K67" s="25">
        <v>5.7</v>
      </c>
      <c r="L67" s="25">
        <v>5.7</v>
      </c>
      <c r="M67" s="143">
        <v>7.16</v>
      </c>
      <c r="N67" s="25">
        <v>7.16</v>
      </c>
      <c r="O67" s="26">
        <v>1</v>
      </c>
      <c r="P67" s="37">
        <v>0.8</v>
      </c>
      <c r="Q67" s="37">
        <f t="shared" ref="Q67:Q130" si="1">P67*J67</f>
        <v>22.400000000000002</v>
      </c>
      <c r="R67" s="58">
        <v>3926909790</v>
      </c>
      <c r="S67" s="55">
        <v>6.5000000000000002E-2</v>
      </c>
      <c r="T67" s="62" t="s">
        <v>522</v>
      </c>
      <c r="U67" s="62">
        <v>21.99</v>
      </c>
      <c r="V67" s="62">
        <v>0.15</v>
      </c>
      <c r="W67" s="25" t="s">
        <v>179</v>
      </c>
    </row>
    <row r="68" spans="1:23" s="3" customFormat="1" ht="18" customHeight="1">
      <c r="A68" s="15">
        <v>66</v>
      </c>
      <c r="B68" s="340" t="s">
        <v>185</v>
      </c>
      <c r="C68" s="26" t="s">
        <v>124</v>
      </c>
      <c r="D68" s="16" t="s">
        <v>493</v>
      </c>
      <c r="E68" s="22" t="s">
        <v>125</v>
      </c>
      <c r="F68" s="19" t="s">
        <v>41</v>
      </c>
      <c r="G68" s="27" t="s">
        <v>518</v>
      </c>
      <c r="H68" s="19" t="s">
        <v>41</v>
      </c>
      <c r="I68" s="44" t="s">
        <v>484</v>
      </c>
      <c r="J68" s="25">
        <v>8</v>
      </c>
      <c r="K68" s="25">
        <v>5.82</v>
      </c>
      <c r="L68" s="25">
        <v>5.82</v>
      </c>
      <c r="M68" s="143">
        <v>6.24</v>
      </c>
      <c r="N68" s="25">
        <v>6.24</v>
      </c>
      <c r="O68" s="339">
        <v>1</v>
      </c>
      <c r="P68" s="37">
        <v>0.8</v>
      </c>
      <c r="Q68" s="37">
        <f t="shared" si="1"/>
        <v>6.4</v>
      </c>
      <c r="R68" s="58">
        <v>6304990099</v>
      </c>
      <c r="S68" s="55">
        <v>0.12</v>
      </c>
      <c r="T68" s="54" t="s">
        <v>495</v>
      </c>
      <c r="U68" s="54">
        <v>14.98</v>
      </c>
      <c r="V68" s="54">
        <v>0.54</v>
      </c>
      <c r="W68" s="25" t="s">
        <v>127</v>
      </c>
    </row>
    <row r="69" spans="1:23" s="3" customFormat="1" ht="18" customHeight="1">
      <c r="A69" s="15">
        <v>67</v>
      </c>
      <c r="B69" s="340"/>
      <c r="C69" s="26" t="s">
        <v>186</v>
      </c>
      <c r="D69" s="16" t="s">
        <v>526</v>
      </c>
      <c r="E69" s="22" t="s">
        <v>187</v>
      </c>
      <c r="F69" s="19" t="s">
        <v>41</v>
      </c>
      <c r="G69" s="27" t="s">
        <v>527</v>
      </c>
      <c r="H69" s="19" t="s">
        <v>41</v>
      </c>
      <c r="I69" s="44" t="s">
        <v>528</v>
      </c>
      <c r="J69" s="25">
        <v>30</v>
      </c>
      <c r="K69" s="25">
        <v>4.5</v>
      </c>
      <c r="L69" s="25">
        <v>4.5</v>
      </c>
      <c r="M69" s="143">
        <v>6.06</v>
      </c>
      <c r="N69" s="25">
        <v>6.06</v>
      </c>
      <c r="O69" s="339"/>
      <c r="P69" s="37">
        <v>0.8</v>
      </c>
      <c r="Q69" s="37">
        <f t="shared" si="1"/>
        <v>24</v>
      </c>
      <c r="R69" s="58">
        <v>6307909899</v>
      </c>
      <c r="S69" s="55">
        <v>6.3E-2</v>
      </c>
      <c r="T69" s="62" t="s">
        <v>529</v>
      </c>
      <c r="U69" s="62">
        <v>5.67</v>
      </c>
      <c r="V69" s="62">
        <v>0.1</v>
      </c>
      <c r="W69" s="88" t="s">
        <v>190</v>
      </c>
    </row>
    <row r="70" spans="1:23" s="3" customFormat="1" ht="18" customHeight="1">
      <c r="A70" s="15">
        <v>68</v>
      </c>
      <c r="B70" s="340"/>
      <c r="C70" s="26" t="s">
        <v>151</v>
      </c>
      <c r="D70" s="16" t="s">
        <v>508</v>
      </c>
      <c r="E70" s="22" t="s">
        <v>152</v>
      </c>
      <c r="F70" s="19" t="s">
        <v>41</v>
      </c>
      <c r="G70" s="27" t="s">
        <v>515</v>
      </c>
      <c r="H70" s="19" t="s">
        <v>41</v>
      </c>
      <c r="I70" s="44" t="s">
        <v>484</v>
      </c>
      <c r="J70" s="25">
        <v>30</v>
      </c>
      <c r="K70" s="25">
        <v>6</v>
      </c>
      <c r="L70" s="25">
        <v>6</v>
      </c>
      <c r="M70" s="143">
        <v>7.56</v>
      </c>
      <c r="N70" s="45">
        <v>7.93</v>
      </c>
      <c r="O70" s="339"/>
      <c r="P70" s="37">
        <v>0.8</v>
      </c>
      <c r="Q70" s="37">
        <f t="shared" si="1"/>
        <v>24</v>
      </c>
      <c r="R70" s="58">
        <v>9021109000</v>
      </c>
      <c r="S70" s="55">
        <v>0</v>
      </c>
      <c r="T70" s="62" t="s">
        <v>509</v>
      </c>
      <c r="U70" s="62">
        <v>13.66</v>
      </c>
      <c r="V70" s="62">
        <v>0.15</v>
      </c>
      <c r="W70" s="25" t="s">
        <v>191</v>
      </c>
    </row>
    <row r="71" spans="1:23" s="3" customFormat="1" ht="18" customHeight="1">
      <c r="A71" s="15">
        <v>69</v>
      </c>
      <c r="B71" s="25" t="s">
        <v>192</v>
      </c>
      <c r="C71" s="26" t="s">
        <v>124</v>
      </c>
      <c r="D71" s="16" t="s">
        <v>493</v>
      </c>
      <c r="E71" s="22" t="s">
        <v>125</v>
      </c>
      <c r="F71" s="19" t="s">
        <v>41</v>
      </c>
      <c r="G71" s="27" t="s">
        <v>518</v>
      </c>
      <c r="H71" s="19" t="s">
        <v>41</v>
      </c>
      <c r="I71" s="44" t="s">
        <v>484</v>
      </c>
      <c r="J71" s="25">
        <v>15</v>
      </c>
      <c r="K71" s="25">
        <v>14.4</v>
      </c>
      <c r="L71" s="25">
        <v>14.4</v>
      </c>
      <c r="M71" s="143">
        <v>15.18</v>
      </c>
      <c r="N71" s="25">
        <v>15.18</v>
      </c>
      <c r="O71" s="26">
        <v>1</v>
      </c>
      <c r="P71" s="37">
        <v>0.8</v>
      </c>
      <c r="Q71" s="37">
        <f t="shared" si="1"/>
        <v>12</v>
      </c>
      <c r="R71" s="58">
        <v>6304990099</v>
      </c>
      <c r="S71" s="55">
        <v>0.12</v>
      </c>
      <c r="T71" s="54" t="s">
        <v>530</v>
      </c>
      <c r="U71" s="54">
        <v>24.99</v>
      </c>
      <c r="V71" s="54">
        <v>0.86</v>
      </c>
      <c r="W71" s="64" t="s">
        <v>193</v>
      </c>
    </row>
    <row r="72" spans="1:23" s="3" customFormat="1" ht="18" customHeight="1">
      <c r="A72" s="15">
        <v>70</v>
      </c>
      <c r="B72" s="25" t="s">
        <v>194</v>
      </c>
      <c r="C72" s="26" t="s">
        <v>124</v>
      </c>
      <c r="D72" s="16" t="s">
        <v>493</v>
      </c>
      <c r="E72" s="22" t="s">
        <v>125</v>
      </c>
      <c r="F72" s="19" t="s">
        <v>41</v>
      </c>
      <c r="G72" s="27" t="s">
        <v>518</v>
      </c>
      <c r="H72" s="19" t="s">
        <v>41</v>
      </c>
      <c r="I72" s="44" t="s">
        <v>484</v>
      </c>
      <c r="J72" s="25">
        <v>15</v>
      </c>
      <c r="K72" s="25">
        <v>14.4</v>
      </c>
      <c r="L72" s="25">
        <v>14.4</v>
      </c>
      <c r="M72" s="143">
        <v>15.18</v>
      </c>
      <c r="N72" s="25">
        <v>15.18</v>
      </c>
      <c r="O72" s="26">
        <v>1</v>
      </c>
      <c r="P72" s="37">
        <v>0.8</v>
      </c>
      <c r="Q72" s="37">
        <f t="shared" si="1"/>
        <v>12</v>
      </c>
      <c r="R72" s="58">
        <v>6304990099</v>
      </c>
      <c r="S72" s="55">
        <v>0.12</v>
      </c>
      <c r="T72" s="54" t="s">
        <v>530</v>
      </c>
      <c r="U72" s="54">
        <v>24.99</v>
      </c>
      <c r="V72" s="54">
        <v>0.86</v>
      </c>
      <c r="W72" s="25" t="s">
        <v>193</v>
      </c>
    </row>
    <row r="73" spans="1:23" s="3" customFormat="1" ht="18" customHeight="1">
      <c r="A73" s="15">
        <v>71</v>
      </c>
      <c r="B73" s="340" t="s">
        <v>195</v>
      </c>
      <c r="C73" s="26" t="s">
        <v>124</v>
      </c>
      <c r="D73" s="16" t="s">
        <v>493</v>
      </c>
      <c r="E73" s="22" t="s">
        <v>125</v>
      </c>
      <c r="F73" s="19" t="s">
        <v>41</v>
      </c>
      <c r="G73" s="27" t="s">
        <v>518</v>
      </c>
      <c r="H73" s="19" t="s">
        <v>41</v>
      </c>
      <c r="I73" s="44" t="s">
        <v>484</v>
      </c>
      <c r="J73" s="25">
        <v>8</v>
      </c>
      <c r="K73" s="25">
        <v>5.82</v>
      </c>
      <c r="L73" s="25">
        <v>5.82</v>
      </c>
      <c r="M73" s="143">
        <v>6.24</v>
      </c>
      <c r="N73" s="25">
        <v>6.24</v>
      </c>
      <c r="O73" s="339">
        <v>1</v>
      </c>
      <c r="P73" s="37">
        <v>0.8</v>
      </c>
      <c r="Q73" s="37">
        <f t="shared" si="1"/>
        <v>6.4</v>
      </c>
      <c r="R73" s="58">
        <v>6304990099</v>
      </c>
      <c r="S73" s="55">
        <v>0.12</v>
      </c>
      <c r="T73" s="54" t="s">
        <v>495</v>
      </c>
      <c r="U73" s="54">
        <v>14.98</v>
      </c>
      <c r="V73" s="54">
        <v>0.54</v>
      </c>
      <c r="W73" s="25" t="s">
        <v>127</v>
      </c>
    </row>
    <row r="74" spans="1:23" s="3" customFormat="1" ht="18" customHeight="1">
      <c r="A74" s="15">
        <v>72</v>
      </c>
      <c r="B74" s="340"/>
      <c r="C74" s="26" t="s">
        <v>196</v>
      </c>
      <c r="D74" s="16" t="s">
        <v>531</v>
      </c>
      <c r="E74" s="22" t="s">
        <v>197</v>
      </c>
      <c r="F74" s="19" t="s">
        <v>41</v>
      </c>
      <c r="G74" s="25" t="s">
        <v>198</v>
      </c>
      <c r="H74" s="19" t="s">
        <v>41</v>
      </c>
      <c r="I74" s="44" t="s">
        <v>532</v>
      </c>
      <c r="J74" s="25">
        <v>30</v>
      </c>
      <c r="K74" s="25">
        <v>1.5</v>
      </c>
      <c r="L74" s="25">
        <v>1.5</v>
      </c>
      <c r="M74" s="143">
        <v>3.06</v>
      </c>
      <c r="N74" s="25">
        <v>3.06</v>
      </c>
      <c r="O74" s="339"/>
      <c r="P74" s="37">
        <v>0.8</v>
      </c>
      <c r="Q74" s="37">
        <f t="shared" si="1"/>
        <v>24</v>
      </c>
      <c r="R74" s="58">
        <v>8543709099</v>
      </c>
      <c r="S74" s="55">
        <v>3.6999999999999998E-2</v>
      </c>
      <c r="T74" s="62" t="s">
        <v>533</v>
      </c>
      <c r="U74" s="62"/>
      <c r="V74" s="62"/>
      <c r="W74" s="63" t="s">
        <v>200</v>
      </c>
    </row>
    <row r="75" spans="1:23" s="3" customFormat="1" ht="18" customHeight="1">
      <c r="A75" s="15">
        <v>73</v>
      </c>
      <c r="B75" s="340" t="s">
        <v>534</v>
      </c>
      <c r="C75" s="26" t="s">
        <v>202</v>
      </c>
      <c r="D75" s="16" t="s">
        <v>535</v>
      </c>
      <c r="E75" s="22" t="s">
        <v>203</v>
      </c>
      <c r="F75" s="19" t="s">
        <v>41</v>
      </c>
      <c r="G75" s="68" t="s">
        <v>536</v>
      </c>
      <c r="H75" s="19" t="s">
        <v>41</v>
      </c>
      <c r="I75" s="81" t="s">
        <v>472</v>
      </c>
      <c r="J75" s="26">
        <v>4</v>
      </c>
      <c r="K75" s="25">
        <v>6.42</v>
      </c>
      <c r="L75" s="25">
        <v>6.42</v>
      </c>
      <c r="M75" s="143">
        <v>6.63</v>
      </c>
      <c r="N75" s="25">
        <v>6.63</v>
      </c>
      <c r="O75" s="339">
        <v>1</v>
      </c>
      <c r="P75" s="37">
        <v>2.1</v>
      </c>
      <c r="Q75" s="37">
        <f t="shared" si="1"/>
        <v>8.4</v>
      </c>
      <c r="R75" s="58">
        <v>8714993000</v>
      </c>
      <c r="S75" s="55">
        <v>4.7E-2</v>
      </c>
      <c r="T75" s="89" t="s">
        <v>537</v>
      </c>
      <c r="U75" s="89">
        <v>39.99</v>
      </c>
      <c r="V75" s="89">
        <v>1.23</v>
      </c>
      <c r="W75" s="90" t="s">
        <v>205</v>
      </c>
    </row>
    <row r="76" spans="1:23" s="3" customFormat="1" ht="18" customHeight="1">
      <c r="A76" s="15">
        <v>74</v>
      </c>
      <c r="B76" s="340"/>
      <c r="C76" s="26" t="s">
        <v>206</v>
      </c>
      <c r="D76" s="16" t="s">
        <v>538</v>
      </c>
      <c r="E76" s="20" t="s">
        <v>539</v>
      </c>
      <c r="F76" s="19" t="s">
        <v>41</v>
      </c>
      <c r="G76" s="68" t="s">
        <v>540</v>
      </c>
      <c r="H76" s="19" t="s">
        <v>41</v>
      </c>
      <c r="I76" s="81" t="s">
        <v>541</v>
      </c>
      <c r="J76" s="26">
        <v>10</v>
      </c>
      <c r="K76" s="25">
        <v>4.7</v>
      </c>
      <c r="L76" s="25">
        <v>4.7</v>
      </c>
      <c r="M76" s="143">
        <v>5.22</v>
      </c>
      <c r="N76" s="25">
        <v>5.22</v>
      </c>
      <c r="O76" s="339"/>
      <c r="P76" s="37">
        <v>2.1</v>
      </c>
      <c r="Q76" s="37">
        <f t="shared" si="1"/>
        <v>21</v>
      </c>
      <c r="R76" s="58">
        <v>8714949090</v>
      </c>
      <c r="S76" s="55">
        <v>4.7E-2</v>
      </c>
      <c r="T76" s="91" t="s">
        <v>542</v>
      </c>
      <c r="U76" s="91">
        <v>19.989999999999998</v>
      </c>
      <c r="V76" s="91">
        <v>0.32</v>
      </c>
      <c r="W76" s="92" t="s">
        <v>210</v>
      </c>
    </row>
    <row r="77" spans="1:23" s="3" customFormat="1" ht="18" customHeight="1">
      <c r="A77" s="15">
        <v>75</v>
      </c>
      <c r="B77" s="340"/>
      <c r="C77" s="26" t="s">
        <v>206</v>
      </c>
      <c r="D77" s="16" t="s">
        <v>538</v>
      </c>
      <c r="E77" s="20" t="s">
        <v>539</v>
      </c>
      <c r="F77" s="19" t="s">
        <v>41</v>
      </c>
      <c r="G77" s="68" t="s">
        <v>543</v>
      </c>
      <c r="H77" s="19" t="s">
        <v>41</v>
      </c>
      <c r="I77" s="81" t="s">
        <v>544</v>
      </c>
      <c r="J77" s="26">
        <v>5</v>
      </c>
      <c r="K77" s="25">
        <v>3.1</v>
      </c>
      <c r="L77" s="25">
        <v>3.1</v>
      </c>
      <c r="M77" s="143">
        <v>3.36</v>
      </c>
      <c r="N77" s="25">
        <v>3.36</v>
      </c>
      <c r="O77" s="339"/>
      <c r="P77" s="37">
        <v>2.1</v>
      </c>
      <c r="Q77" s="37">
        <f t="shared" si="1"/>
        <v>10.5</v>
      </c>
      <c r="R77" s="58">
        <v>8714949090</v>
      </c>
      <c r="S77" s="55">
        <v>4.7E-2</v>
      </c>
      <c r="T77" s="91" t="s">
        <v>542</v>
      </c>
      <c r="U77" s="91">
        <v>19.989999999999998</v>
      </c>
      <c r="V77" s="91">
        <v>0.32</v>
      </c>
      <c r="W77" s="90" t="s">
        <v>213</v>
      </c>
    </row>
    <row r="78" spans="1:23" s="3" customFormat="1" ht="18" customHeight="1">
      <c r="A78" s="15">
        <v>76</v>
      </c>
      <c r="B78" s="340"/>
      <c r="C78" s="26" t="s">
        <v>214</v>
      </c>
      <c r="D78" s="16" t="s">
        <v>545</v>
      </c>
      <c r="E78" s="20" t="s">
        <v>215</v>
      </c>
      <c r="F78" s="19" t="s">
        <v>41</v>
      </c>
      <c r="G78" s="68" t="s">
        <v>543</v>
      </c>
      <c r="H78" s="19" t="s">
        <v>41</v>
      </c>
      <c r="I78" s="81" t="s">
        <v>546</v>
      </c>
      <c r="J78" s="26">
        <v>3</v>
      </c>
      <c r="K78" s="25">
        <v>1.86</v>
      </c>
      <c r="L78" s="25">
        <v>1.86</v>
      </c>
      <c r="M78" s="143">
        <v>2.02</v>
      </c>
      <c r="N78" s="25">
        <v>2.02</v>
      </c>
      <c r="O78" s="339"/>
      <c r="P78" s="37">
        <v>2.1</v>
      </c>
      <c r="Q78" s="37">
        <f t="shared" si="1"/>
        <v>6.3000000000000007</v>
      </c>
      <c r="R78" s="58">
        <v>8714999089</v>
      </c>
      <c r="S78" s="55">
        <v>4.7E-2</v>
      </c>
      <c r="T78" s="91" t="s">
        <v>547</v>
      </c>
      <c r="U78" s="91">
        <v>12.79</v>
      </c>
      <c r="V78" s="91">
        <v>0.12</v>
      </c>
      <c r="W78" s="92" t="s">
        <v>217</v>
      </c>
    </row>
    <row r="79" spans="1:23" s="3" customFormat="1" ht="18" customHeight="1">
      <c r="A79" s="15">
        <v>77</v>
      </c>
      <c r="B79" s="340" t="s">
        <v>548</v>
      </c>
      <c r="C79" s="69" t="s">
        <v>202</v>
      </c>
      <c r="D79" s="16" t="s">
        <v>535</v>
      </c>
      <c r="E79" s="20" t="s">
        <v>203</v>
      </c>
      <c r="F79" s="19" t="s">
        <v>41</v>
      </c>
      <c r="G79" s="70" t="s">
        <v>536</v>
      </c>
      <c r="H79" s="19" t="s">
        <v>41</v>
      </c>
      <c r="I79" s="82" t="s">
        <v>472</v>
      </c>
      <c r="J79" s="26">
        <v>4</v>
      </c>
      <c r="K79" s="25">
        <v>6.42</v>
      </c>
      <c r="L79" s="25">
        <v>6.42</v>
      </c>
      <c r="M79" s="143">
        <v>6.63</v>
      </c>
      <c r="N79" s="25">
        <v>6.63</v>
      </c>
      <c r="O79" s="339">
        <v>1</v>
      </c>
      <c r="P79" s="37">
        <v>2.1</v>
      </c>
      <c r="Q79" s="37">
        <f t="shared" si="1"/>
        <v>8.4</v>
      </c>
      <c r="R79" s="58">
        <v>8714993000</v>
      </c>
      <c r="S79" s="55">
        <v>4.7E-2</v>
      </c>
      <c r="T79" s="89" t="s">
        <v>537</v>
      </c>
      <c r="U79" s="89">
        <v>39.99</v>
      </c>
      <c r="V79" s="89">
        <v>1.23</v>
      </c>
      <c r="W79" s="92" t="s">
        <v>205</v>
      </c>
    </row>
    <row r="80" spans="1:23" s="3" customFormat="1" ht="18" customHeight="1">
      <c r="A80" s="15">
        <v>78</v>
      </c>
      <c r="B80" s="340"/>
      <c r="C80" s="69" t="s">
        <v>221</v>
      </c>
      <c r="D80" s="16" t="s">
        <v>549</v>
      </c>
      <c r="E80" s="20" t="s">
        <v>222</v>
      </c>
      <c r="F80" s="19" t="s">
        <v>41</v>
      </c>
      <c r="G80" s="70" t="s">
        <v>536</v>
      </c>
      <c r="H80" s="19" t="s">
        <v>41</v>
      </c>
      <c r="I80" s="82" t="s">
        <v>472</v>
      </c>
      <c r="J80" s="26">
        <v>5</v>
      </c>
      <c r="K80" s="25">
        <v>3.65</v>
      </c>
      <c r="L80" s="25">
        <v>3.65</v>
      </c>
      <c r="M80" s="143">
        <v>3.91</v>
      </c>
      <c r="N80" s="25">
        <v>3.91</v>
      </c>
      <c r="O80" s="339"/>
      <c r="P80" s="37">
        <v>2.1</v>
      </c>
      <c r="Q80" s="37">
        <f t="shared" si="1"/>
        <v>10.5</v>
      </c>
      <c r="R80" s="58" t="s">
        <v>550</v>
      </c>
      <c r="S80" s="55">
        <v>1.7000000000000001E-2</v>
      </c>
      <c r="T80" s="89" t="s">
        <v>551</v>
      </c>
      <c r="U80" s="89">
        <v>14.99</v>
      </c>
      <c r="V80" s="89">
        <v>0.43</v>
      </c>
      <c r="W80" s="92" t="s">
        <v>223</v>
      </c>
    </row>
    <row r="81" spans="1:23" s="3" customFormat="1" ht="18" customHeight="1">
      <c r="A81" s="15">
        <v>79</v>
      </c>
      <c r="B81" s="340"/>
      <c r="C81" s="69" t="s">
        <v>224</v>
      </c>
      <c r="D81" s="16" t="s">
        <v>552</v>
      </c>
      <c r="E81" s="20" t="s">
        <v>225</v>
      </c>
      <c r="F81" s="19" t="s">
        <v>41</v>
      </c>
      <c r="G81" s="70" t="s">
        <v>553</v>
      </c>
      <c r="H81" s="19" t="s">
        <v>41</v>
      </c>
      <c r="I81" s="82" t="s">
        <v>554</v>
      </c>
      <c r="J81" s="26">
        <v>5</v>
      </c>
      <c r="K81" s="25">
        <v>3.1</v>
      </c>
      <c r="L81" s="25">
        <v>3.1</v>
      </c>
      <c r="M81" s="143">
        <v>3.36</v>
      </c>
      <c r="N81" s="25">
        <v>3.36</v>
      </c>
      <c r="O81" s="339"/>
      <c r="P81" s="37">
        <v>2.1</v>
      </c>
      <c r="Q81" s="37">
        <f t="shared" si="1"/>
        <v>10.5</v>
      </c>
      <c r="R81" s="58">
        <v>8708999790</v>
      </c>
      <c r="S81" s="55">
        <v>3.6999999999999998E-2</v>
      </c>
      <c r="T81" s="89" t="s">
        <v>555</v>
      </c>
      <c r="U81" s="89">
        <v>23.99</v>
      </c>
      <c r="V81" s="89">
        <v>0.32</v>
      </c>
      <c r="W81" s="92" t="s">
        <v>228</v>
      </c>
    </row>
    <row r="82" spans="1:23" s="3" customFormat="1" ht="18" customHeight="1">
      <c r="A82" s="15">
        <v>80</v>
      </c>
      <c r="B82" s="340"/>
      <c r="C82" s="69" t="s">
        <v>229</v>
      </c>
      <c r="D82" s="16" t="s">
        <v>556</v>
      </c>
      <c r="E82" s="22" t="s">
        <v>230</v>
      </c>
      <c r="F82" s="19" t="s">
        <v>41</v>
      </c>
      <c r="G82" s="70" t="s">
        <v>557</v>
      </c>
      <c r="H82" s="19" t="s">
        <v>41</v>
      </c>
      <c r="I82" s="82" t="s">
        <v>558</v>
      </c>
      <c r="J82" s="26">
        <v>5</v>
      </c>
      <c r="K82" s="25">
        <v>1.75</v>
      </c>
      <c r="L82" s="25">
        <v>1.75</v>
      </c>
      <c r="M82" s="143">
        <v>2.0099999999999998</v>
      </c>
      <c r="N82" s="25">
        <v>2.0099999999999998</v>
      </c>
      <c r="O82" s="339"/>
      <c r="P82" s="37">
        <v>2.1</v>
      </c>
      <c r="Q82" s="37">
        <f t="shared" si="1"/>
        <v>10.5</v>
      </c>
      <c r="R82" s="58" t="s">
        <v>559</v>
      </c>
      <c r="S82" s="55">
        <v>3.5000000000000003E-2</v>
      </c>
      <c r="T82" s="89" t="s">
        <v>560</v>
      </c>
      <c r="U82" s="89"/>
      <c r="V82" s="89">
        <v>0.05</v>
      </c>
      <c r="W82" s="92" t="s">
        <v>233</v>
      </c>
    </row>
    <row r="83" spans="1:23" s="3" customFormat="1" ht="18" customHeight="1">
      <c r="A83" s="15">
        <v>81</v>
      </c>
      <c r="B83" s="340"/>
      <c r="C83" s="69" t="s">
        <v>214</v>
      </c>
      <c r="D83" s="16" t="s">
        <v>545</v>
      </c>
      <c r="E83" s="22" t="s">
        <v>215</v>
      </c>
      <c r="F83" s="19" t="s">
        <v>41</v>
      </c>
      <c r="G83" s="70" t="s">
        <v>543</v>
      </c>
      <c r="H83" s="19" t="s">
        <v>41</v>
      </c>
      <c r="I83" s="82" t="s">
        <v>546</v>
      </c>
      <c r="J83" s="26">
        <v>2</v>
      </c>
      <c r="K83" s="25">
        <v>1.74</v>
      </c>
      <c r="L83" s="25">
        <v>1.74</v>
      </c>
      <c r="M83" s="143">
        <v>1.84</v>
      </c>
      <c r="N83" s="25">
        <v>1.84</v>
      </c>
      <c r="O83" s="339"/>
      <c r="P83" s="37">
        <v>2.1</v>
      </c>
      <c r="Q83" s="37">
        <f t="shared" si="1"/>
        <v>4.2</v>
      </c>
      <c r="R83" s="58">
        <v>8714999089</v>
      </c>
      <c r="S83" s="55">
        <v>4.7E-2</v>
      </c>
      <c r="T83" s="91" t="s">
        <v>547</v>
      </c>
      <c r="U83" s="91">
        <v>12.79</v>
      </c>
      <c r="V83" s="91">
        <v>0.12</v>
      </c>
      <c r="W83" s="90" t="s">
        <v>217</v>
      </c>
    </row>
    <row r="84" spans="1:23" s="3" customFormat="1" ht="18" customHeight="1">
      <c r="A84" s="15">
        <v>82</v>
      </c>
      <c r="B84" s="340"/>
      <c r="C84" s="69" t="s">
        <v>236</v>
      </c>
      <c r="D84" s="16" t="s">
        <v>561</v>
      </c>
      <c r="E84" s="22" t="s">
        <v>562</v>
      </c>
      <c r="F84" s="19" t="s">
        <v>41</v>
      </c>
      <c r="G84" s="70" t="s">
        <v>543</v>
      </c>
      <c r="H84" s="19" t="s">
        <v>41</v>
      </c>
      <c r="I84" s="82" t="s">
        <v>472</v>
      </c>
      <c r="J84" s="26">
        <v>5</v>
      </c>
      <c r="K84" s="25">
        <v>6.5</v>
      </c>
      <c r="L84" s="25">
        <v>6.5</v>
      </c>
      <c r="M84" s="143">
        <v>6.76</v>
      </c>
      <c r="N84" s="25">
        <v>6.76</v>
      </c>
      <c r="O84" s="339"/>
      <c r="P84" s="37">
        <v>2.1</v>
      </c>
      <c r="Q84" s="37">
        <f t="shared" si="1"/>
        <v>10.5</v>
      </c>
      <c r="R84" s="58">
        <v>8714949090</v>
      </c>
      <c r="S84" s="55">
        <v>4.7E-2</v>
      </c>
      <c r="T84" s="93" t="s">
        <v>563</v>
      </c>
      <c r="U84" s="93">
        <v>34.39</v>
      </c>
      <c r="V84" s="89">
        <v>1</v>
      </c>
      <c r="W84" s="92" t="s">
        <v>238</v>
      </c>
    </row>
    <row r="85" spans="1:23" s="3" customFormat="1" ht="18" customHeight="1">
      <c r="A85" s="15">
        <v>83</v>
      </c>
      <c r="B85" s="340" t="s">
        <v>564</v>
      </c>
      <c r="C85" s="26" t="s">
        <v>240</v>
      </c>
      <c r="D85" s="16" t="s">
        <v>565</v>
      </c>
      <c r="E85" s="22" t="s">
        <v>241</v>
      </c>
      <c r="F85" s="19" t="s">
        <v>41</v>
      </c>
      <c r="G85" s="68" t="s">
        <v>566</v>
      </c>
      <c r="H85" s="19" t="s">
        <v>41</v>
      </c>
      <c r="I85" s="81" t="s">
        <v>472</v>
      </c>
      <c r="J85" s="26">
        <v>12</v>
      </c>
      <c r="K85" s="25">
        <v>10.5</v>
      </c>
      <c r="L85" s="25">
        <v>10.5</v>
      </c>
      <c r="M85" s="143">
        <v>11.13</v>
      </c>
      <c r="N85" s="25">
        <v>11.13</v>
      </c>
      <c r="O85" s="340">
        <v>1</v>
      </c>
      <c r="P85" s="37">
        <v>2.2000000000000002</v>
      </c>
      <c r="Q85" s="37">
        <f t="shared" si="1"/>
        <v>26.400000000000002</v>
      </c>
      <c r="R85" s="58">
        <v>8539500000</v>
      </c>
      <c r="S85" s="55">
        <v>3.6999999999999998E-2</v>
      </c>
      <c r="T85" s="94" t="s">
        <v>567</v>
      </c>
      <c r="U85" s="94">
        <v>27.99</v>
      </c>
      <c r="V85" s="95">
        <v>0.75</v>
      </c>
      <c r="W85" s="92" t="s">
        <v>243</v>
      </c>
    </row>
    <row r="86" spans="1:23" s="3" customFormat="1" ht="18" customHeight="1">
      <c r="A86" s="15">
        <v>84</v>
      </c>
      <c r="B86" s="340"/>
      <c r="C86" s="26" t="s">
        <v>244</v>
      </c>
      <c r="D86" s="16" t="s">
        <v>568</v>
      </c>
      <c r="E86" s="22" t="s">
        <v>245</v>
      </c>
      <c r="F86" s="19" t="s">
        <v>41</v>
      </c>
      <c r="G86" s="68" t="s">
        <v>499</v>
      </c>
      <c r="H86" s="19" t="s">
        <v>41</v>
      </c>
      <c r="I86" s="81" t="s">
        <v>472</v>
      </c>
      <c r="J86" s="26">
        <v>5</v>
      </c>
      <c r="K86" s="25">
        <v>2</v>
      </c>
      <c r="L86" s="25">
        <v>2</v>
      </c>
      <c r="M86" s="143">
        <v>2.2599999999999998</v>
      </c>
      <c r="N86" s="25">
        <v>2.2599999999999998</v>
      </c>
      <c r="O86" s="340"/>
      <c r="P86" s="37">
        <v>2.2000000000000002</v>
      </c>
      <c r="Q86" s="37">
        <f t="shared" si="1"/>
        <v>11</v>
      </c>
      <c r="R86" s="58">
        <v>7616999099</v>
      </c>
      <c r="S86" s="55">
        <v>0.06</v>
      </c>
      <c r="T86" s="94" t="s">
        <v>569</v>
      </c>
      <c r="U86" s="94">
        <v>19.34</v>
      </c>
      <c r="V86" s="95">
        <v>0.1</v>
      </c>
      <c r="W86" s="92" t="s">
        <v>246</v>
      </c>
    </row>
    <row r="87" spans="1:23" s="3" customFormat="1" ht="18" customHeight="1">
      <c r="A87" s="15">
        <v>85</v>
      </c>
      <c r="B87" s="340"/>
      <c r="C87" s="26" t="s">
        <v>247</v>
      </c>
      <c r="D87" s="71" t="s">
        <v>570</v>
      </c>
      <c r="E87" s="72" t="s">
        <v>571</v>
      </c>
      <c r="F87" s="19" t="s">
        <v>41</v>
      </c>
      <c r="G87" s="68" t="s">
        <v>572</v>
      </c>
      <c r="H87" s="19" t="s">
        <v>41</v>
      </c>
      <c r="I87" s="81" t="s">
        <v>573</v>
      </c>
      <c r="J87" s="26">
        <v>22</v>
      </c>
      <c r="K87" s="25">
        <v>5.9</v>
      </c>
      <c r="L87" s="25">
        <v>5.9</v>
      </c>
      <c r="M87" s="143">
        <v>7.05</v>
      </c>
      <c r="N87" s="25">
        <v>7.05</v>
      </c>
      <c r="O87" s="340"/>
      <c r="P87" s="37">
        <v>2.2000000000000002</v>
      </c>
      <c r="Q87" s="37">
        <f t="shared" si="1"/>
        <v>48.400000000000006</v>
      </c>
      <c r="R87" s="58">
        <v>8708299090</v>
      </c>
      <c r="S87" s="55">
        <v>4.4999999999999998E-2</v>
      </c>
      <c r="T87" s="94" t="s">
        <v>574</v>
      </c>
      <c r="U87" s="94">
        <v>8.99</v>
      </c>
      <c r="V87" s="95">
        <v>0.2</v>
      </c>
      <c r="W87" s="92" t="s">
        <v>251</v>
      </c>
    </row>
    <row r="88" spans="1:23" s="3" customFormat="1" ht="18" customHeight="1">
      <c r="A88" s="15">
        <v>86</v>
      </c>
      <c r="B88" s="340"/>
      <c r="C88" s="26" t="s">
        <v>252</v>
      </c>
      <c r="D88" s="16" t="s">
        <v>538</v>
      </c>
      <c r="E88" s="22" t="s">
        <v>253</v>
      </c>
      <c r="F88" s="19" t="s">
        <v>41</v>
      </c>
      <c r="G88" s="68" t="s">
        <v>543</v>
      </c>
      <c r="H88" s="19" t="s">
        <v>41</v>
      </c>
      <c r="I88" s="81" t="s">
        <v>575</v>
      </c>
      <c r="J88" s="26">
        <v>10</v>
      </c>
      <c r="K88" s="25">
        <v>8.1</v>
      </c>
      <c r="L88" s="25">
        <v>8.1</v>
      </c>
      <c r="M88" s="143">
        <v>8.6199999999999992</v>
      </c>
      <c r="N88" s="25">
        <v>8.6199999999999992</v>
      </c>
      <c r="O88" s="340"/>
      <c r="P88" s="37">
        <v>2.2000000000000002</v>
      </c>
      <c r="Q88" s="37">
        <f t="shared" si="1"/>
        <v>22</v>
      </c>
      <c r="R88" s="58">
        <v>8714949090</v>
      </c>
      <c r="S88" s="55">
        <v>4.7E-2</v>
      </c>
      <c r="T88" s="94" t="s">
        <v>576</v>
      </c>
      <c r="U88" s="94">
        <v>28.45</v>
      </c>
      <c r="V88" s="95">
        <v>0.66</v>
      </c>
      <c r="W88" s="92" t="s">
        <v>255</v>
      </c>
    </row>
    <row r="89" spans="1:23" s="3" customFormat="1" ht="18" customHeight="1">
      <c r="A89" s="15">
        <v>87</v>
      </c>
      <c r="B89" s="340"/>
      <c r="C89" s="69" t="s">
        <v>256</v>
      </c>
      <c r="D89" s="71" t="s">
        <v>570</v>
      </c>
      <c r="E89" s="72" t="s">
        <v>571</v>
      </c>
      <c r="F89" s="19" t="s">
        <v>41</v>
      </c>
      <c r="G89" s="69" t="s">
        <v>258</v>
      </c>
      <c r="H89" s="19" t="s">
        <v>41</v>
      </c>
      <c r="I89" s="83" t="s">
        <v>577</v>
      </c>
      <c r="J89" s="26">
        <v>3</v>
      </c>
      <c r="K89" s="25">
        <v>2.1</v>
      </c>
      <c r="L89" s="25">
        <v>2.1</v>
      </c>
      <c r="M89" s="143">
        <v>2.2599999999999998</v>
      </c>
      <c r="N89" s="25">
        <v>2.2599999999999998</v>
      </c>
      <c r="O89" s="340"/>
      <c r="P89" s="37">
        <v>2.2000000000000002</v>
      </c>
      <c r="Q89" s="37">
        <f t="shared" si="1"/>
        <v>6.6000000000000005</v>
      </c>
      <c r="R89" s="58">
        <v>8708299090</v>
      </c>
      <c r="S89" s="55">
        <v>4.4999999999999998E-2</v>
      </c>
      <c r="T89" s="94" t="s">
        <v>578</v>
      </c>
      <c r="U89" s="94">
        <v>8.99</v>
      </c>
      <c r="V89" s="95">
        <v>0.2</v>
      </c>
      <c r="W89" s="92" t="s">
        <v>260</v>
      </c>
    </row>
    <row r="90" spans="1:23" s="3" customFormat="1" ht="18" customHeight="1">
      <c r="A90" s="15">
        <v>88</v>
      </c>
      <c r="B90" s="340" t="s">
        <v>579</v>
      </c>
      <c r="C90" s="26" t="s">
        <v>262</v>
      </c>
      <c r="D90" s="16" t="s">
        <v>580</v>
      </c>
      <c r="E90" s="22" t="s">
        <v>263</v>
      </c>
      <c r="F90" s="19" t="s">
        <v>41</v>
      </c>
      <c r="G90" s="68" t="s">
        <v>499</v>
      </c>
      <c r="H90" s="19" t="s">
        <v>41</v>
      </c>
      <c r="I90" s="84" t="s">
        <v>581</v>
      </c>
      <c r="J90" s="26">
        <v>5</v>
      </c>
      <c r="K90" s="25">
        <v>2.85</v>
      </c>
      <c r="L90" s="25">
        <v>2.85</v>
      </c>
      <c r="M90" s="143">
        <v>3.11</v>
      </c>
      <c r="N90" s="25">
        <v>3.11</v>
      </c>
      <c r="O90" s="339">
        <v>1</v>
      </c>
      <c r="P90" s="37">
        <v>0.7</v>
      </c>
      <c r="Q90" s="37">
        <f t="shared" si="1"/>
        <v>3.5</v>
      </c>
      <c r="R90" s="58">
        <v>8414208090</v>
      </c>
      <c r="S90" s="55">
        <v>2.1999999999999999E-2</v>
      </c>
      <c r="T90" s="96" t="s">
        <v>582</v>
      </c>
      <c r="U90" s="96">
        <v>6.99</v>
      </c>
      <c r="V90" s="97">
        <v>0.27</v>
      </c>
      <c r="W90" s="98" t="s">
        <v>265</v>
      </c>
    </row>
    <row r="91" spans="1:23" s="3" customFormat="1" ht="18" customHeight="1">
      <c r="A91" s="15">
        <v>89</v>
      </c>
      <c r="B91" s="340"/>
      <c r="C91" s="26" t="s">
        <v>266</v>
      </c>
      <c r="D91" s="16" t="s">
        <v>583</v>
      </c>
      <c r="E91" s="22" t="s">
        <v>267</v>
      </c>
      <c r="F91" s="19" t="s">
        <v>41</v>
      </c>
      <c r="G91" s="68" t="s">
        <v>479</v>
      </c>
      <c r="H91" s="19" t="s">
        <v>41</v>
      </c>
      <c r="I91" s="84" t="s">
        <v>472</v>
      </c>
      <c r="J91" s="26">
        <v>10</v>
      </c>
      <c r="K91" s="25">
        <v>6.1</v>
      </c>
      <c r="L91" s="25">
        <v>6.1</v>
      </c>
      <c r="M91" s="143">
        <v>6.62</v>
      </c>
      <c r="N91" s="25">
        <v>6.62</v>
      </c>
      <c r="O91" s="339"/>
      <c r="P91" s="37">
        <v>0.7</v>
      </c>
      <c r="Q91" s="37">
        <f t="shared" si="1"/>
        <v>7</v>
      </c>
      <c r="R91" s="58">
        <v>8714109090</v>
      </c>
      <c r="S91" s="55">
        <v>3.6999999999999998E-2</v>
      </c>
      <c r="T91" s="96" t="s">
        <v>584</v>
      </c>
      <c r="U91" s="96">
        <v>13.99</v>
      </c>
      <c r="V91" s="97">
        <v>0.46</v>
      </c>
      <c r="W91" s="98" t="s">
        <v>268</v>
      </c>
    </row>
    <row r="92" spans="1:23" s="3" customFormat="1" ht="18" customHeight="1">
      <c r="A92" s="15">
        <v>90</v>
      </c>
      <c r="B92" s="340" t="s">
        <v>585</v>
      </c>
      <c r="C92" s="26" t="s">
        <v>270</v>
      </c>
      <c r="D92" s="16" t="s">
        <v>586</v>
      </c>
      <c r="E92" s="22" t="s">
        <v>587</v>
      </c>
      <c r="F92" s="19" t="s">
        <v>41</v>
      </c>
      <c r="G92" s="68" t="s">
        <v>475</v>
      </c>
      <c r="H92" s="19" t="s">
        <v>41</v>
      </c>
      <c r="I92" s="81" t="s">
        <v>476</v>
      </c>
      <c r="J92" s="26">
        <v>32</v>
      </c>
      <c r="K92" s="25">
        <v>14.94</v>
      </c>
      <c r="L92" s="25">
        <v>14.94</v>
      </c>
      <c r="M92" s="143">
        <v>16.61</v>
      </c>
      <c r="N92" s="25">
        <v>16.61</v>
      </c>
      <c r="O92" s="339">
        <v>1</v>
      </c>
      <c r="P92" s="37">
        <v>1.5</v>
      </c>
      <c r="Q92" s="37">
        <f t="shared" si="1"/>
        <v>48</v>
      </c>
      <c r="R92" s="58">
        <v>3924900090</v>
      </c>
      <c r="S92" s="55">
        <v>6.5000000000000002E-2</v>
      </c>
      <c r="T92" s="94" t="s">
        <v>588</v>
      </c>
      <c r="U92" s="94"/>
      <c r="V92" s="94">
        <v>0.42</v>
      </c>
      <c r="W92" s="99" t="s">
        <v>272</v>
      </c>
    </row>
    <row r="93" spans="1:23" s="3" customFormat="1" ht="18" customHeight="1">
      <c r="A93" s="15">
        <v>91</v>
      </c>
      <c r="B93" s="340"/>
      <c r="C93" s="26" t="s">
        <v>273</v>
      </c>
      <c r="D93" s="16" t="s">
        <v>589</v>
      </c>
      <c r="E93" s="22" t="s">
        <v>274</v>
      </c>
      <c r="F93" s="19" t="s">
        <v>41</v>
      </c>
      <c r="G93" s="68" t="s">
        <v>487</v>
      </c>
      <c r="H93" s="19" t="s">
        <v>41</v>
      </c>
      <c r="I93" s="81" t="s">
        <v>484</v>
      </c>
      <c r="J93" s="26">
        <v>15</v>
      </c>
      <c r="K93" s="25">
        <v>3.9</v>
      </c>
      <c r="L93" s="25">
        <v>3.9</v>
      </c>
      <c r="M93" s="143">
        <v>4.68</v>
      </c>
      <c r="N93" s="25">
        <v>4.68</v>
      </c>
      <c r="O93" s="339"/>
      <c r="P93" s="37">
        <v>1.5</v>
      </c>
      <c r="Q93" s="37">
        <f t="shared" si="1"/>
        <v>22.5</v>
      </c>
      <c r="R93" s="58">
        <v>6307909810</v>
      </c>
      <c r="S93" s="55">
        <v>6.3E-2</v>
      </c>
      <c r="T93" s="94" t="s">
        <v>590</v>
      </c>
      <c r="U93" s="94"/>
      <c r="V93" s="94">
        <v>0.16</v>
      </c>
      <c r="W93" s="99" t="s">
        <v>275</v>
      </c>
    </row>
    <row r="94" spans="1:23" s="3" customFormat="1" ht="18" customHeight="1">
      <c r="A94" s="15">
        <v>92</v>
      </c>
      <c r="B94" s="340" t="s">
        <v>591</v>
      </c>
      <c r="C94" s="26" t="s">
        <v>270</v>
      </c>
      <c r="D94" s="16" t="s">
        <v>592</v>
      </c>
      <c r="E94" s="22" t="s">
        <v>587</v>
      </c>
      <c r="F94" s="19" t="s">
        <v>41</v>
      </c>
      <c r="G94" s="68" t="s">
        <v>475</v>
      </c>
      <c r="H94" s="19" t="s">
        <v>41</v>
      </c>
      <c r="I94" s="81" t="s">
        <v>476</v>
      </c>
      <c r="J94" s="26">
        <v>3</v>
      </c>
      <c r="K94" s="25">
        <v>2.76</v>
      </c>
      <c r="L94" s="25">
        <v>2.76</v>
      </c>
      <c r="M94" s="143">
        <v>2.92</v>
      </c>
      <c r="N94" s="25">
        <v>2.92</v>
      </c>
      <c r="O94" s="339">
        <v>1</v>
      </c>
      <c r="P94" s="37">
        <v>1.5</v>
      </c>
      <c r="Q94" s="37">
        <f t="shared" si="1"/>
        <v>4.5</v>
      </c>
      <c r="R94" s="58">
        <v>3924900090</v>
      </c>
      <c r="S94" s="55">
        <v>6.5000000000000002E-2</v>
      </c>
      <c r="T94" s="94" t="s">
        <v>588</v>
      </c>
      <c r="U94" s="94"/>
      <c r="V94" s="94">
        <v>0.42</v>
      </c>
      <c r="W94" s="26" t="s">
        <v>272</v>
      </c>
    </row>
    <row r="95" spans="1:23" s="3" customFormat="1" ht="18" customHeight="1">
      <c r="A95" s="15">
        <v>93</v>
      </c>
      <c r="B95" s="340"/>
      <c r="C95" s="26" t="s">
        <v>277</v>
      </c>
      <c r="D95" s="16" t="s">
        <v>593</v>
      </c>
      <c r="E95" s="15" t="s">
        <v>594</v>
      </c>
      <c r="F95" s="19" t="s">
        <v>41</v>
      </c>
      <c r="G95" s="68" t="s">
        <v>595</v>
      </c>
      <c r="H95" s="19" t="s">
        <v>41</v>
      </c>
      <c r="I95" s="81" t="s">
        <v>596</v>
      </c>
      <c r="J95" s="26">
        <v>33</v>
      </c>
      <c r="K95" s="25">
        <v>17.010000000000002</v>
      </c>
      <c r="L95" s="25">
        <v>17.010000000000002</v>
      </c>
      <c r="M95" s="143">
        <v>18.73</v>
      </c>
      <c r="N95" s="25">
        <v>18.73</v>
      </c>
      <c r="O95" s="339"/>
      <c r="P95" s="37">
        <v>1.5</v>
      </c>
      <c r="Q95" s="37">
        <f t="shared" si="1"/>
        <v>49.5</v>
      </c>
      <c r="R95" s="58">
        <v>8539500000</v>
      </c>
      <c r="S95" s="55">
        <v>3.6999999999999998E-2</v>
      </c>
      <c r="T95" s="94" t="s">
        <v>597</v>
      </c>
      <c r="U95" s="94">
        <v>16.989999999999998</v>
      </c>
      <c r="V95" s="94">
        <v>0.47</v>
      </c>
      <c r="W95" s="99" t="s">
        <v>281</v>
      </c>
    </row>
    <row r="96" spans="1:23" s="3" customFormat="1" ht="18" customHeight="1">
      <c r="A96" s="15">
        <v>94</v>
      </c>
      <c r="B96" s="340"/>
      <c r="C96" s="69" t="s">
        <v>282</v>
      </c>
      <c r="D96" s="16" t="s">
        <v>598</v>
      </c>
      <c r="E96" s="22" t="s">
        <v>283</v>
      </c>
      <c r="F96" s="19" t="s">
        <v>41</v>
      </c>
      <c r="G96" s="70" t="s">
        <v>599</v>
      </c>
      <c r="H96" s="19" t="s">
        <v>41</v>
      </c>
      <c r="I96" s="82" t="s">
        <v>600</v>
      </c>
      <c r="J96" s="26">
        <v>15</v>
      </c>
      <c r="K96" s="25">
        <v>2.5499999999999998</v>
      </c>
      <c r="L96" s="25">
        <v>2.5499999999999998</v>
      </c>
      <c r="M96" s="143">
        <v>3.33</v>
      </c>
      <c r="N96" s="25">
        <v>3.33</v>
      </c>
      <c r="O96" s="339"/>
      <c r="P96" s="37">
        <v>1.5</v>
      </c>
      <c r="Q96" s="37">
        <f t="shared" si="1"/>
        <v>22.5</v>
      </c>
      <c r="R96" s="58">
        <v>6307909899</v>
      </c>
      <c r="S96" s="55">
        <v>6.3E-2</v>
      </c>
      <c r="T96" s="40" t="s">
        <v>601</v>
      </c>
      <c r="U96" s="40">
        <v>11.99</v>
      </c>
      <c r="V96" s="40">
        <v>7.0000000000000007E-2</v>
      </c>
      <c r="W96" s="99" t="s">
        <v>286</v>
      </c>
    </row>
    <row r="97" spans="1:23" s="3" customFormat="1" ht="18" customHeight="1">
      <c r="A97" s="15">
        <v>95</v>
      </c>
      <c r="B97" s="340"/>
      <c r="C97" s="69" t="s">
        <v>287</v>
      </c>
      <c r="D97" s="16" t="s">
        <v>602</v>
      </c>
      <c r="E97" s="22" t="s">
        <v>288</v>
      </c>
      <c r="F97" s="19" t="s">
        <v>41</v>
      </c>
      <c r="G97" s="70" t="s">
        <v>475</v>
      </c>
      <c r="H97" s="19" t="s">
        <v>41</v>
      </c>
      <c r="I97" s="82" t="s">
        <v>603</v>
      </c>
      <c r="J97" s="26">
        <v>20</v>
      </c>
      <c r="K97" s="25">
        <v>5.0999999999999996</v>
      </c>
      <c r="L97" s="25">
        <v>5.0999999999999996</v>
      </c>
      <c r="M97" s="143">
        <v>6.14</v>
      </c>
      <c r="N97" s="25">
        <v>6.14</v>
      </c>
      <c r="O97" s="339"/>
      <c r="P97" s="37">
        <v>1.5</v>
      </c>
      <c r="Q97" s="37">
        <f t="shared" si="1"/>
        <v>30</v>
      </c>
      <c r="R97" s="58">
        <v>9603909900</v>
      </c>
      <c r="S97" s="55">
        <v>3.6999999999999998E-2</v>
      </c>
      <c r="T97" s="40" t="s">
        <v>604</v>
      </c>
      <c r="U97" s="40">
        <v>4.54</v>
      </c>
      <c r="V97" s="40">
        <v>0.18</v>
      </c>
      <c r="W97" s="99" t="s">
        <v>291</v>
      </c>
    </row>
    <row r="98" spans="1:23" s="3" customFormat="1" ht="18" customHeight="1">
      <c r="A98" s="15">
        <v>96</v>
      </c>
      <c r="B98" s="340"/>
      <c r="C98" s="69" t="s">
        <v>292</v>
      </c>
      <c r="D98" s="16" t="s">
        <v>605</v>
      </c>
      <c r="E98" s="22" t="s">
        <v>293</v>
      </c>
      <c r="F98" s="19" t="s">
        <v>41</v>
      </c>
      <c r="G98" s="70" t="s">
        <v>606</v>
      </c>
      <c r="H98" s="19" t="s">
        <v>41</v>
      </c>
      <c r="I98" s="82" t="s">
        <v>607</v>
      </c>
      <c r="J98" s="26">
        <v>20</v>
      </c>
      <c r="K98" s="25">
        <v>21.3</v>
      </c>
      <c r="L98" s="25">
        <v>21.3</v>
      </c>
      <c r="M98" s="143">
        <v>22.34</v>
      </c>
      <c r="N98" s="25">
        <v>22.34</v>
      </c>
      <c r="O98" s="339"/>
      <c r="P98" s="37">
        <v>1.5</v>
      </c>
      <c r="Q98" s="37">
        <f t="shared" si="1"/>
        <v>30</v>
      </c>
      <c r="R98" s="58">
        <v>7323930090</v>
      </c>
      <c r="S98" s="55">
        <v>3.2000000000000001E-2</v>
      </c>
      <c r="T98" s="40" t="s">
        <v>608</v>
      </c>
      <c r="U98" s="40">
        <v>0.26</v>
      </c>
      <c r="V98" s="40">
        <v>0.99</v>
      </c>
      <c r="W98" s="99" t="s">
        <v>296</v>
      </c>
    </row>
    <row r="99" spans="1:23" s="3" customFormat="1" ht="18" customHeight="1">
      <c r="A99" s="15">
        <v>97</v>
      </c>
      <c r="B99" s="340"/>
      <c r="C99" s="69" t="s">
        <v>297</v>
      </c>
      <c r="D99" s="16" t="s">
        <v>609</v>
      </c>
      <c r="E99" s="22" t="s">
        <v>298</v>
      </c>
      <c r="F99" s="19" t="s">
        <v>41</v>
      </c>
      <c r="G99" s="70" t="s">
        <v>536</v>
      </c>
      <c r="H99" s="19" t="s">
        <v>41</v>
      </c>
      <c r="I99" s="82" t="s">
        <v>472</v>
      </c>
      <c r="J99" s="26">
        <v>20</v>
      </c>
      <c r="K99" s="25">
        <v>1.8</v>
      </c>
      <c r="L99" s="25">
        <v>1.8</v>
      </c>
      <c r="M99" s="143">
        <v>2.84</v>
      </c>
      <c r="N99" s="25">
        <v>2.84</v>
      </c>
      <c r="O99" s="339"/>
      <c r="P99" s="37">
        <v>1.5</v>
      </c>
      <c r="Q99" s="37">
        <f t="shared" si="1"/>
        <v>30</v>
      </c>
      <c r="R99" s="58">
        <v>3924900090</v>
      </c>
      <c r="S99" s="55">
        <v>6.5000000000000002E-2</v>
      </c>
      <c r="T99" s="40" t="s">
        <v>610</v>
      </c>
      <c r="U99" s="40">
        <v>1.92</v>
      </c>
      <c r="V99" s="40">
        <v>1.4999999999999999E-2</v>
      </c>
      <c r="W99" s="99" t="s">
        <v>299</v>
      </c>
    </row>
    <row r="100" spans="1:23" s="3" customFormat="1" ht="18" customHeight="1">
      <c r="A100" s="15">
        <v>98</v>
      </c>
      <c r="B100" s="340"/>
      <c r="C100" s="69" t="s">
        <v>300</v>
      </c>
      <c r="D100" s="16" t="s">
        <v>611</v>
      </c>
      <c r="E100" s="22" t="s">
        <v>301</v>
      </c>
      <c r="F100" s="19" t="s">
        <v>41</v>
      </c>
      <c r="G100" s="70" t="s">
        <v>515</v>
      </c>
      <c r="H100" s="19" t="s">
        <v>41</v>
      </c>
      <c r="I100" s="82" t="s">
        <v>484</v>
      </c>
      <c r="J100" s="26">
        <v>22</v>
      </c>
      <c r="K100" s="25">
        <v>5.9</v>
      </c>
      <c r="L100" s="25">
        <v>5.9</v>
      </c>
      <c r="M100" s="143">
        <v>7.05</v>
      </c>
      <c r="N100" s="25">
        <v>7.05</v>
      </c>
      <c r="O100" s="339"/>
      <c r="P100" s="37">
        <v>1.5</v>
      </c>
      <c r="Q100" s="37">
        <f t="shared" si="1"/>
        <v>33</v>
      </c>
      <c r="R100" s="58">
        <v>6406909010</v>
      </c>
      <c r="S100" s="55">
        <v>0.03</v>
      </c>
      <c r="T100" s="40" t="s">
        <v>612</v>
      </c>
      <c r="U100" s="40">
        <v>24.29</v>
      </c>
      <c r="V100" s="40">
        <v>0.2</v>
      </c>
      <c r="W100" s="99" t="s">
        <v>304</v>
      </c>
    </row>
    <row r="101" spans="1:23" s="3" customFormat="1" ht="18" customHeight="1">
      <c r="A101" s="15">
        <v>99</v>
      </c>
      <c r="B101" s="340" t="s">
        <v>613</v>
      </c>
      <c r="C101" s="69" t="s">
        <v>306</v>
      </c>
      <c r="D101" s="16" t="s">
        <v>614</v>
      </c>
      <c r="E101" s="22" t="s">
        <v>307</v>
      </c>
      <c r="F101" s="19" t="s">
        <v>41</v>
      </c>
      <c r="G101" s="70" t="s">
        <v>615</v>
      </c>
      <c r="H101" s="19" t="s">
        <v>41</v>
      </c>
      <c r="I101" s="82" t="s">
        <v>546</v>
      </c>
      <c r="J101" s="26">
        <v>10</v>
      </c>
      <c r="K101" s="25">
        <v>2.5</v>
      </c>
      <c r="L101" s="25">
        <v>2.5</v>
      </c>
      <c r="M101" s="143">
        <v>3.02</v>
      </c>
      <c r="N101" s="25">
        <v>3.02</v>
      </c>
      <c r="O101" s="339">
        <v>1</v>
      </c>
      <c r="P101" s="37">
        <v>1.5</v>
      </c>
      <c r="Q101" s="37">
        <f t="shared" si="1"/>
        <v>15</v>
      </c>
      <c r="R101" s="58">
        <v>6302599090</v>
      </c>
      <c r="S101" s="55">
        <v>0.12</v>
      </c>
      <c r="T101" s="40" t="s">
        <v>616</v>
      </c>
      <c r="U101" s="40">
        <v>0.28000000000000003</v>
      </c>
      <c r="V101" s="40"/>
      <c r="W101" s="99" t="s">
        <v>309</v>
      </c>
    </row>
    <row r="102" spans="1:23" s="3" customFormat="1" ht="18" customHeight="1">
      <c r="A102" s="15">
        <v>100</v>
      </c>
      <c r="B102" s="340"/>
      <c r="C102" s="69" t="s">
        <v>310</v>
      </c>
      <c r="D102" s="16" t="s">
        <v>617</v>
      </c>
      <c r="E102" s="22" t="s">
        <v>311</v>
      </c>
      <c r="F102" s="19" t="s">
        <v>41</v>
      </c>
      <c r="G102" s="70" t="s">
        <v>501</v>
      </c>
      <c r="H102" s="19" t="s">
        <v>41</v>
      </c>
      <c r="I102" s="82" t="s">
        <v>484</v>
      </c>
      <c r="J102" s="26">
        <v>20</v>
      </c>
      <c r="K102" s="25">
        <v>5.5</v>
      </c>
      <c r="L102" s="25">
        <v>5.5</v>
      </c>
      <c r="M102" s="143">
        <v>6.54</v>
      </c>
      <c r="N102" s="25">
        <v>6.54</v>
      </c>
      <c r="O102" s="339"/>
      <c r="P102" s="37">
        <v>1.5</v>
      </c>
      <c r="Q102" s="37">
        <f t="shared" si="1"/>
        <v>30</v>
      </c>
      <c r="R102" s="58">
        <v>9021109000</v>
      </c>
      <c r="S102" s="55">
        <v>0</v>
      </c>
      <c r="T102" s="40" t="s">
        <v>502</v>
      </c>
      <c r="U102" s="40">
        <v>11.99</v>
      </c>
      <c r="V102" s="40">
        <v>0.2</v>
      </c>
      <c r="W102" s="99" t="s">
        <v>140</v>
      </c>
    </row>
    <row r="103" spans="1:23" s="3" customFormat="1" ht="18" customHeight="1">
      <c r="A103" s="15">
        <v>101</v>
      </c>
      <c r="B103" s="340"/>
      <c r="C103" s="69" t="s">
        <v>300</v>
      </c>
      <c r="D103" s="16" t="s">
        <v>611</v>
      </c>
      <c r="E103" s="22" t="s">
        <v>301</v>
      </c>
      <c r="F103" s="19" t="s">
        <v>41</v>
      </c>
      <c r="G103" s="70" t="s">
        <v>515</v>
      </c>
      <c r="H103" s="19" t="s">
        <v>41</v>
      </c>
      <c r="I103" s="82" t="s">
        <v>484</v>
      </c>
      <c r="J103" s="26">
        <v>38</v>
      </c>
      <c r="K103" s="25">
        <v>9.1</v>
      </c>
      <c r="L103" s="25">
        <v>9.1</v>
      </c>
      <c r="M103" s="143">
        <v>11.08</v>
      </c>
      <c r="N103" s="25">
        <v>11.08</v>
      </c>
      <c r="O103" s="339"/>
      <c r="P103" s="37">
        <v>1.5</v>
      </c>
      <c r="Q103" s="37">
        <f t="shared" si="1"/>
        <v>57</v>
      </c>
      <c r="R103" s="58">
        <v>6406909010</v>
      </c>
      <c r="S103" s="55">
        <v>0.03</v>
      </c>
      <c r="T103" s="40" t="s">
        <v>612</v>
      </c>
      <c r="U103" s="40">
        <v>24.29</v>
      </c>
      <c r="V103" s="40">
        <v>0.2</v>
      </c>
      <c r="W103" s="26" t="s">
        <v>304</v>
      </c>
    </row>
    <row r="104" spans="1:23" s="3" customFormat="1" ht="18" customHeight="1">
      <c r="A104" s="15">
        <v>102</v>
      </c>
      <c r="B104" s="340"/>
      <c r="C104" s="69" t="s">
        <v>313</v>
      </c>
      <c r="D104" s="16" t="s">
        <v>618</v>
      </c>
      <c r="E104" s="22" t="s">
        <v>314</v>
      </c>
      <c r="F104" s="19" t="s">
        <v>41</v>
      </c>
      <c r="G104" s="70" t="s">
        <v>619</v>
      </c>
      <c r="H104" s="19" t="s">
        <v>41</v>
      </c>
      <c r="I104" s="82" t="s">
        <v>484</v>
      </c>
      <c r="J104" s="26">
        <v>30</v>
      </c>
      <c r="K104" s="25">
        <v>4.5</v>
      </c>
      <c r="L104" s="25">
        <v>4.5</v>
      </c>
      <c r="M104" s="143">
        <v>6.06</v>
      </c>
      <c r="N104" s="25">
        <v>6.06</v>
      </c>
      <c r="O104" s="339"/>
      <c r="P104" s="37">
        <v>1.5</v>
      </c>
      <c r="Q104" s="37">
        <f t="shared" si="1"/>
        <v>45</v>
      </c>
      <c r="R104" s="58">
        <v>9506919000</v>
      </c>
      <c r="S104" s="55">
        <v>2.7E-2</v>
      </c>
      <c r="T104" s="40" t="s">
        <v>620</v>
      </c>
      <c r="U104" s="40">
        <v>12.99</v>
      </c>
      <c r="V104" s="40"/>
      <c r="W104" s="99" t="s">
        <v>316</v>
      </c>
    </row>
    <row r="105" spans="1:23" s="3" customFormat="1" ht="18" customHeight="1">
      <c r="A105" s="15">
        <v>103</v>
      </c>
      <c r="B105" s="340"/>
      <c r="C105" s="69" t="s">
        <v>282</v>
      </c>
      <c r="D105" s="16" t="s">
        <v>598</v>
      </c>
      <c r="E105" s="22" t="s">
        <v>283</v>
      </c>
      <c r="F105" s="19" t="s">
        <v>41</v>
      </c>
      <c r="G105" s="70" t="s">
        <v>621</v>
      </c>
      <c r="H105" s="19" t="s">
        <v>41</v>
      </c>
      <c r="I105" s="82" t="s">
        <v>622</v>
      </c>
      <c r="J105" s="26">
        <v>13</v>
      </c>
      <c r="K105" s="25">
        <v>2.41</v>
      </c>
      <c r="L105" s="25">
        <v>2.41</v>
      </c>
      <c r="M105" s="143">
        <v>3.09</v>
      </c>
      <c r="N105" s="25">
        <v>3.09</v>
      </c>
      <c r="O105" s="339"/>
      <c r="P105" s="37">
        <v>1.5</v>
      </c>
      <c r="Q105" s="37">
        <f t="shared" si="1"/>
        <v>19.5</v>
      </c>
      <c r="R105" s="58">
        <v>6307909899</v>
      </c>
      <c r="S105" s="55">
        <v>6.3E-2</v>
      </c>
      <c r="T105" s="40" t="s">
        <v>601</v>
      </c>
      <c r="U105" s="40">
        <v>11.99</v>
      </c>
      <c r="V105" s="40">
        <v>7.0000000000000007E-2</v>
      </c>
      <c r="W105" s="26" t="s">
        <v>319</v>
      </c>
    </row>
    <row r="106" spans="1:23" s="3" customFormat="1" ht="18" customHeight="1">
      <c r="A106" s="15">
        <v>104</v>
      </c>
      <c r="B106" s="15" t="s">
        <v>623</v>
      </c>
      <c r="C106" s="16" t="s">
        <v>321</v>
      </c>
      <c r="D106" s="73" t="s">
        <v>624</v>
      </c>
      <c r="E106" s="18" t="s">
        <v>61</v>
      </c>
      <c r="F106" s="19" t="s">
        <v>41</v>
      </c>
      <c r="G106" s="20" t="s">
        <v>625</v>
      </c>
      <c r="H106" s="19" t="s">
        <v>41</v>
      </c>
      <c r="I106" s="38" t="s">
        <v>626</v>
      </c>
      <c r="J106" s="40">
        <v>48</v>
      </c>
      <c r="K106" s="39">
        <v>14.46</v>
      </c>
      <c r="L106" s="39">
        <v>14.46</v>
      </c>
      <c r="M106" s="142">
        <v>16.96</v>
      </c>
      <c r="N106" s="39">
        <v>16.96</v>
      </c>
      <c r="O106" s="15">
        <v>1</v>
      </c>
      <c r="P106" s="37">
        <v>0.33</v>
      </c>
      <c r="Q106" s="37">
        <f t="shared" si="1"/>
        <v>15.84</v>
      </c>
      <c r="R106" s="58">
        <v>8424200000</v>
      </c>
      <c r="S106" s="55">
        <v>1.7000000000000001E-2</v>
      </c>
      <c r="T106" s="100" t="s">
        <v>627</v>
      </c>
      <c r="U106" s="100">
        <v>11.62</v>
      </c>
      <c r="V106" s="100">
        <v>0.27</v>
      </c>
      <c r="W106" s="56" t="s">
        <v>325</v>
      </c>
    </row>
    <row r="107" spans="1:23" s="3" customFormat="1" ht="18" customHeight="1">
      <c r="A107" s="15">
        <v>105</v>
      </c>
      <c r="B107" s="15" t="s">
        <v>628</v>
      </c>
      <c r="C107" s="16" t="s">
        <v>321</v>
      </c>
      <c r="D107" s="73" t="s">
        <v>624</v>
      </c>
      <c r="E107" s="18" t="s">
        <v>61</v>
      </c>
      <c r="F107" s="19" t="s">
        <v>41</v>
      </c>
      <c r="G107" s="20" t="s">
        <v>625</v>
      </c>
      <c r="H107" s="19" t="s">
        <v>41</v>
      </c>
      <c r="I107" s="38" t="s">
        <v>626</v>
      </c>
      <c r="J107" s="40">
        <v>48</v>
      </c>
      <c r="K107" s="39">
        <v>14.46</v>
      </c>
      <c r="L107" s="39">
        <v>14.46</v>
      </c>
      <c r="M107" s="142">
        <v>16.96</v>
      </c>
      <c r="N107" s="39">
        <v>16.96</v>
      </c>
      <c r="O107" s="15">
        <v>1</v>
      </c>
      <c r="P107" s="37">
        <v>0.33</v>
      </c>
      <c r="Q107" s="37">
        <f t="shared" si="1"/>
        <v>15.84</v>
      </c>
      <c r="R107" s="58">
        <v>8424200000</v>
      </c>
      <c r="S107" s="55">
        <v>1.7000000000000001E-2</v>
      </c>
      <c r="T107" s="100" t="s">
        <v>627</v>
      </c>
      <c r="U107" s="100">
        <v>11.62</v>
      </c>
      <c r="V107" s="100">
        <v>0.27</v>
      </c>
      <c r="W107" s="57" t="s">
        <v>325</v>
      </c>
    </row>
    <row r="108" spans="1:23" s="3" customFormat="1" ht="18" customHeight="1">
      <c r="A108" s="15">
        <v>106</v>
      </c>
      <c r="B108" s="15" t="s">
        <v>629</v>
      </c>
      <c r="C108" s="16" t="s">
        <v>321</v>
      </c>
      <c r="D108" s="73" t="s">
        <v>624</v>
      </c>
      <c r="E108" s="18" t="s">
        <v>61</v>
      </c>
      <c r="F108" s="19" t="s">
        <v>41</v>
      </c>
      <c r="G108" s="20" t="s">
        <v>625</v>
      </c>
      <c r="H108" s="19" t="s">
        <v>41</v>
      </c>
      <c r="I108" s="38" t="s">
        <v>626</v>
      </c>
      <c r="J108" s="40">
        <v>48</v>
      </c>
      <c r="K108" s="39">
        <v>14.46</v>
      </c>
      <c r="L108" s="39">
        <v>14.46</v>
      </c>
      <c r="M108" s="142">
        <v>16.96</v>
      </c>
      <c r="N108" s="39">
        <v>16.96</v>
      </c>
      <c r="O108" s="15">
        <v>1</v>
      </c>
      <c r="P108" s="37">
        <v>0.33</v>
      </c>
      <c r="Q108" s="37">
        <f t="shared" si="1"/>
        <v>15.84</v>
      </c>
      <c r="R108" s="58">
        <v>8424200000</v>
      </c>
      <c r="S108" s="55">
        <v>1.7000000000000001E-2</v>
      </c>
      <c r="T108" s="100" t="s">
        <v>627</v>
      </c>
      <c r="U108" s="100">
        <v>11.62</v>
      </c>
      <c r="V108" s="100">
        <v>0.27</v>
      </c>
      <c r="W108" s="57" t="s">
        <v>325</v>
      </c>
    </row>
    <row r="109" spans="1:23" s="3" customFormat="1" ht="18" customHeight="1">
      <c r="A109" s="15">
        <v>107</v>
      </c>
      <c r="B109" s="15" t="s">
        <v>630</v>
      </c>
      <c r="C109" s="16" t="s">
        <v>321</v>
      </c>
      <c r="D109" s="73" t="s">
        <v>624</v>
      </c>
      <c r="E109" s="18" t="s">
        <v>61</v>
      </c>
      <c r="F109" s="19" t="s">
        <v>41</v>
      </c>
      <c r="G109" s="20" t="s">
        <v>625</v>
      </c>
      <c r="H109" s="19" t="s">
        <v>41</v>
      </c>
      <c r="I109" s="38" t="s">
        <v>626</v>
      </c>
      <c r="J109" s="40">
        <v>48</v>
      </c>
      <c r="K109" s="39">
        <v>14.46</v>
      </c>
      <c r="L109" s="39">
        <v>14.46</v>
      </c>
      <c r="M109" s="142">
        <v>16.96</v>
      </c>
      <c r="N109" s="39">
        <v>16.96</v>
      </c>
      <c r="O109" s="15">
        <v>1</v>
      </c>
      <c r="P109" s="37">
        <v>0.33</v>
      </c>
      <c r="Q109" s="37">
        <f t="shared" si="1"/>
        <v>15.84</v>
      </c>
      <c r="R109" s="58">
        <v>8424200000</v>
      </c>
      <c r="S109" s="55">
        <v>1.7000000000000001E-2</v>
      </c>
      <c r="T109" s="100" t="s">
        <v>627</v>
      </c>
      <c r="U109" s="100">
        <v>11.62</v>
      </c>
      <c r="V109" s="100">
        <v>0.27</v>
      </c>
      <c r="W109" s="57" t="s">
        <v>325</v>
      </c>
    </row>
    <row r="110" spans="1:23" s="3" customFormat="1" ht="18" customHeight="1">
      <c r="A110" s="15">
        <v>108</v>
      </c>
      <c r="B110" s="15" t="s">
        <v>631</v>
      </c>
      <c r="C110" s="16" t="s">
        <v>321</v>
      </c>
      <c r="D110" s="73" t="s">
        <v>624</v>
      </c>
      <c r="E110" s="18" t="s">
        <v>61</v>
      </c>
      <c r="F110" s="19" t="s">
        <v>41</v>
      </c>
      <c r="G110" s="20" t="s">
        <v>625</v>
      </c>
      <c r="H110" s="19" t="s">
        <v>41</v>
      </c>
      <c r="I110" s="38" t="s">
        <v>626</v>
      </c>
      <c r="J110" s="40">
        <v>48</v>
      </c>
      <c r="K110" s="39">
        <v>14.46</v>
      </c>
      <c r="L110" s="39">
        <v>14.46</v>
      </c>
      <c r="M110" s="142">
        <v>16.96</v>
      </c>
      <c r="N110" s="39">
        <v>16.96</v>
      </c>
      <c r="O110" s="15">
        <v>1</v>
      </c>
      <c r="P110" s="37">
        <v>0.33</v>
      </c>
      <c r="Q110" s="37">
        <f t="shared" si="1"/>
        <v>15.84</v>
      </c>
      <c r="R110" s="58">
        <v>8424200000</v>
      </c>
      <c r="S110" s="55">
        <v>1.7000000000000001E-2</v>
      </c>
      <c r="T110" s="100" t="s">
        <v>627</v>
      </c>
      <c r="U110" s="100">
        <v>11.62</v>
      </c>
      <c r="V110" s="100">
        <v>0.27</v>
      </c>
      <c r="W110" s="57" t="s">
        <v>325</v>
      </c>
    </row>
    <row r="111" spans="1:23" s="3" customFormat="1" ht="18" customHeight="1">
      <c r="A111" s="15">
        <v>109</v>
      </c>
      <c r="B111" s="15" t="s">
        <v>632</v>
      </c>
      <c r="C111" s="24" t="s">
        <v>331</v>
      </c>
      <c r="D111" s="74" t="s">
        <v>633</v>
      </c>
      <c r="E111" s="22" t="s">
        <v>332</v>
      </c>
      <c r="F111" s="19" t="s">
        <v>41</v>
      </c>
      <c r="G111" s="20" t="s">
        <v>634</v>
      </c>
      <c r="H111" s="19" t="s">
        <v>41</v>
      </c>
      <c r="I111" s="38" t="s">
        <v>635</v>
      </c>
      <c r="J111" s="40">
        <v>48</v>
      </c>
      <c r="K111" s="39">
        <v>7.26</v>
      </c>
      <c r="L111" s="39">
        <v>7.26</v>
      </c>
      <c r="M111" s="142">
        <v>9.76</v>
      </c>
      <c r="N111" s="39">
        <v>9.76</v>
      </c>
      <c r="O111" s="15">
        <v>1</v>
      </c>
      <c r="P111" s="37">
        <v>0.22</v>
      </c>
      <c r="Q111" s="37">
        <f t="shared" si="1"/>
        <v>10.56</v>
      </c>
      <c r="R111" s="58">
        <v>9021109000</v>
      </c>
      <c r="S111" s="55">
        <v>0</v>
      </c>
      <c r="T111" s="101" t="s">
        <v>636</v>
      </c>
      <c r="U111" s="101">
        <v>10.99</v>
      </c>
      <c r="V111" s="101">
        <v>0.12</v>
      </c>
      <c r="W111" s="102" t="s">
        <v>335</v>
      </c>
    </row>
    <row r="112" spans="1:23" s="3" customFormat="1" ht="18" customHeight="1">
      <c r="A112" s="15">
        <v>110</v>
      </c>
      <c r="B112" s="15" t="s">
        <v>637</v>
      </c>
      <c r="C112" s="24" t="s">
        <v>331</v>
      </c>
      <c r="D112" s="74" t="s">
        <v>633</v>
      </c>
      <c r="E112" s="22" t="s">
        <v>332</v>
      </c>
      <c r="F112" s="19" t="s">
        <v>41</v>
      </c>
      <c r="G112" s="20" t="s">
        <v>634</v>
      </c>
      <c r="H112" s="19" t="s">
        <v>41</v>
      </c>
      <c r="I112" s="38" t="s">
        <v>635</v>
      </c>
      <c r="J112" s="40">
        <v>48</v>
      </c>
      <c r="K112" s="39">
        <v>7.26</v>
      </c>
      <c r="L112" s="39">
        <v>7.26</v>
      </c>
      <c r="M112" s="142">
        <v>9.76</v>
      </c>
      <c r="N112" s="39">
        <v>9.76</v>
      </c>
      <c r="O112" s="15">
        <v>1</v>
      </c>
      <c r="P112" s="37">
        <v>0.22</v>
      </c>
      <c r="Q112" s="37">
        <f t="shared" si="1"/>
        <v>10.56</v>
      </c>
      <c r="R112" s="58">
        <v>9021109000</v>
      </c>
      <c r="S112" s="55">
        <v>0</v>
      </c>
      <c r="T112" s="101" t="s">
        <v>636</v>
      </c>
      <c r="U112" s="101">
        <v>10.99</v>
      </c>
      <c r="V112" s="101">
        <v>0.12</v>
      </c>
      <c r="W112" s="57" t="s">
        <v>335</v>
      </c>
    </row>
    <row r="113" spans="1:23" s="3" customFormat="1" ht="18" customHeight="1">
      <c r="A113" s="15">
        <v>111</v>
      </c>
      <c r="B113" s="15" t="s">
        <v>638</v>
      </c>
      <c r="C113" s="24" t="s">
        <v>331</v>
      </c>
      <c r="D113" s="74" t="s">
        <v>633</v>
      </c>
      <c r="E113" s="22" t="s">
        <v>332</v>
      </c>
      <c r="F113" s="19" t="s">
        <v>41</v>
      </c>
      <c r="G113" s="20" t="s">
        <v>634</v>
      </c>
      <c r="H113" s="19" t="s">
        <v>41</v>
      </c>
      <c r="I113" s="38" t="s">
        <v>635</v>
      </c>
      <c r="J113" s="40">
        <v>48</v>
      </c>
      <c r="K113" s="39">
        <v>7.26</v>
      </c>
      <c r="L113" s="39">
        <v>7.26</v>
      </c>
      <c r="M113" s="142">
        <v>9.76</v>
      </c>
      <c r="N113" s="39">
        <v>9.76</v>
      </c>
      <c r="O113" s="15">
        <v>1</v>
      </c>
      <c r="P113" s="37">
        <v>0.22</v>
      </c>
      <c r="Q113" s="37">
        <f t="shared" si="1"/>
        <v>10.56</v>
      </c>
      <c r="R113" s="58">
        <v>9021109000</v>
      </c>
      <c r="S113" s="55">
        <v>0</v>
      </c>
      <c r="T113" s="101" t="s">
        <v>636</v>
      </c>
      <c r="U113" s="101">
        <v>10.99</v>
      </c>
      <c r="V113" s="101">
        <v>0.12</v>
      </c>
      <c r="W113" s="57" t="s">
        <v>335</v>
      </c>
    </row>
    <row r="114" spans="1:23" s="3" customFormat="1" ht="18" customHeight="1">
      <c r="A114" s="15">
        <v>112</v>
      </c>
      <c r="B114" s="15" t="s">
        <v>639</v>
      </c>
      <c r="C114" s="24" t="s">
        <v>331</v>
      </c>
      <c r="D114" s="74" t="s">
        <v>633</v>
      </c>
      <c r="E114" s="22" t="s">
        <v>332</v>
      </c>
      <c r="F114" s="19" t="s">
        <v>41</v>
      </c>
      <c r="G114" s="20" t="s">
        <v>634</v>
      </c>
      <c r="H114" s="19" t="s">
        <v>41</v>
      </c>
      <c r="I114" s="38" t="s">
        <v>635</v>
      </c>
      <c r="J114" s="40">
        <v>46</v>
      </c>
      <c r="K114" s="39">
        <v>7.02</v>
      </c>
      <c r="L114" s="39">
        <v>7.02</v>
      </c>
      <c r="M114" s="142">
        <v>9.42</v>
      </c>
      <c r="N114" s="39">
        <v>9.42</v>
      </c>
      <c r="O114" s="15">
        <v>1</v>
      </c>
      <c r="P114" s="37">
        <v>0.22</v>
      </c>
      <c r="Q114" s="37">
        <f t="shared" si="1"/>
        <v>10.119999999999999</v>
      </c>
      <c r="R114" s="58">
        <v>9021109000</v>
      </c>
      <c r="S114" s="55">
        <v>0</v>
      </c>
      <c r="T114" s="101" t="s">
        <v>636</v>
      </c>
      <c r="U114" s="101">
        <v>10.99</v>
      </c>
      <c r="V114" s="101">
        <v>0.12</v>
      </c>
      <c r="W114" s="57" t="s">
        <v>335</v>
      </c>
    </row>
    <row r="115" spans="1:23" s="3" customFormat="1" ht="18" customHeight="1">
      <c r="A115" s="15">
        <v>113</v>
      </c>
      <c r="B115" s="340" t="s">
        <v>640</v>
      </c>
      <c r="C115" s="24" t="s">
        <v>340</v>
      </c>
      <c r="D115" s="16" t="s">
        <v>641</v>
      </c>
      <c r="E115" s="15" t="s">
        <v>642</v>
      </c>
      <c r="F115" s="75" t="s">
        <v>342</v>
      </c>
      <c r="G115" s="76" t="s">
        <v>343</v>
      </c>
      <c r="H115" s="19" t="s">
        <v>41</v>
      </c>
      <c r="I115" s="41" t="s">
        <v>643</v>
      </c>
      <c r="J115" s="15">
        <v>100</v>
      </c>
      <c r="K115" s="85">
        <v>7.53</v>
      </c>
      <c r="L115" s="85">
        <v>7.53</v>
      </c>
      <c r="M115" s="142">
        <v>12.74</v>
      </c>
      <c r="N115" s="85">
        <v>12.74</v>
      </c>
      <c r="O115" s="339">
        <v>1</v>
      </c>
      <c r="P115" s="37">
        <v>0.15</v>
      </c>
      <c r="Q115" s="37">
        <f t="shared" si="1"/>
        <v>15</v>
      </c>
      <c r="R115" s="58">
        <v>8443999000</v>
      </c>
      <c r="S115" s="55">
        <v>0</v>
      </c>
      <c r="T115" s="101" t="s">
        <v>644</v>
      </c>
      <c r="U115" s="101">
        <v>9.99</v>
      </c>
      <c r="V115" s="101">
        <v>0.06</v>
      </c>
      <c r="W115" s="102" t="s">
        <v>345</v>
      </c>
    </row>
    <row r="116" spans="1:23" s="3" customFormat="1" ht="18" customHeight="1">
      <c r="A116" s="15">
        <v>114</v>
      </c>
      <c r="B116" s="340"/>
      <c r="C116" s="24" t="s">
        <v>346</v>
      </c>
      <c r="D116" s="16" t="s">
        <v>645</v>
      </c>
      <c r="E116" s="18" t="s">
        <v>646</v>
      </c>
      <c r="F116" s="75" t="s">
        <v>348</v>
      </c>
      <c r="G116" s="76" t="s">
        <v>647</v>
      </c>
      <c r="H116" s="19" t="s">
        <v>41</v>
      </c>
      <c r="I116" s="86" t="s">
        <v>350</v>
      </c>
      <c r="J116" s="15">
        <v>89</v>
      </c>
      <c r="K116" s="39">
        <v>19.3</v>
      </c>
      <c r="L116" s="39">
        <v>19.3</v>
      </c>
      <c r="M116" s="142">
        <v>23.94</v>
      </c>
      <c r="N116" s="39">
        <v>23.94</v>
      </c>
      <c r="O116" s="339"/>
      <c r="P116" s="37">
        <v>0.11</v>
      </c>
      <c r="Q116" s="37">
        <f t="shared" si="1"/>
        <v>9.7900000000000009</v>
      </c>
      <c r="R116" s="58">
        <v>3923299000</v>
      </c>
      <c r="S116" s="55">
        <v>6.5000000000000002E-2</v>
      </c>
      <c r="T116" s="103" t="s">
        <v>648</v>
      </c>
      <c r="U116" s="103">
        <v>6.99</v>
      </c>
      <c r="V116" s="103">
        <v>0.2</v>
      </c>
      <c r="W116" s="56" t="s">
        <v>351</v>
      </c>
    </row>
    <row r="117" spans="1:23" s="3" customFormat="1" ht="18" customHeight="1">
      <c r="A117" s="15">
        <v>115</v>
      </c>
      <c r="B117" s="25" t="s">
        <v>649</v>
      </c>
      <c r="C117" s="24" t="s">
        <v>346</v>
      </c>
      <c r="D117" s="16" t="s">
        <v>645</v>
      </c>
      <c r="E117" s="18" t="s">
        <v>646</v>
      </c>
      <c r="F117" s="75" t="s">
        <v>348</v>
      </c>
      <c r="G117" s="76" t="s">
        <v>647</v>
      </c>
      <c r="H117" s="19" t="s">
        <v>41</v>
      </c>
      <c r="I117" s="86" t="s">
        <v>350</v>
      </c>
      <c r="J117" s="15">
        <v>89</v>
      </c>
      <c r="K117" s="39">
        <v>19.3</v>
      </c>
      <c r="L117" s="39">
        <v>19.3</v>
      </c>
      <c r="M117" s="142">
        <v>23.94</v>
      </c>
      <c r="N117" s="39">
        <v>23.94</v>
      </c>
      <c r="O117" s="26">
        <v>1</v>
      </c>
      <c r="P117" s="37">
        <v>0.11</v>
      </c>
      <c r="Q117" s="37">
        <f t="shared" si="1"/>
        <v>9.7900000000000009</v>
      </c>
      <c r="R117" s="58">
        <v>3923299000</v>
      </c>
      <c r="S117" s="55">
        <v>6.5000000000000002E-2</v>
      </c>
      <c r="T117" s="103" t="s">
        <v>648</v>
      </c>
      <c r="U117" s="103">
        <v>6.99</v>
      </c>
      <c r="V117" s="103">
        <v>0.2</v>
      </c>
      <c r="W117" s="104" t="s">
        <v>351</v>
      </c>
    </row>
    <row r="118" spans="1:23" s="3" customFormat="1" ht="18" customHeight="1">
      <c r="A118" s="15">
        <v>116</v>
      </c>
      <c r="B118" s="25" t="s">
        <v>650</v>
      </c>
      <c r="C118" s="24" t="s">
        <v>346</v>
      </c>
      <c r="D118" s="16" t="s">
        <v>645</v>
      </c>
      <c r="E118" s="18" t="s">
        <v>646</v>
      </c>
      <c r="F118" s="75" t="s">
        <v>348</v>
      </c>
      <c r="G118" s="76" t="s">
        <v>647</v>
      </c>
      <c r="H118" s="19" t="s">
        <v>41</v>
      </c>
      <c r="I118" s="86" t="s">
        <v>350</v>
      </c>
      <c r="J118" s="15">
        <v>89</v>
      </c>
      <c r="K118" s="39">
        <v>19.3</v>
      </c>
      <c r="L118" s="39">
        <v>19.3</v>
      </c>
      <c r="M118" s="142">
        <v>23.94</v>
      </c>
      <c r="N118" s="39">
        <v>23.94</v>
      </c>
      <c r="O118" s="26">
        <v>1</v>
      </c>
      <c r="P118" s="37">
        <v>0.11</v>
      </c>
      <c r="Q118" s="37">
        <f t="shared" si="1"/>
        <v>9.7900000000000009</v>
      </c>
      <c r="R118" s="58">
        <v>3923299000</v>
      </c>
      <c r="S118" s="55">
        <v>6.5000000000000002E-2</v>
      </c>
      <c r="T118" s="103" t="s">
        <v>648</v>
      </c>
      <c r="U118" s="103">
        <v>6.99</v>
      </c>
      <c r="V118" s="103">
        <v>0.2</v>
      </c>
      <c r="W118" s="105" t="s">
        <v>351</v>
      </c>
    </row>
    <row r="119" spans="1:23" s="3" customFormat="1" ht="18" customHeight="1">
      <c r="A119" s="15">
        <v>117</v>
      </c>
      <c r="B119" s="25" t="s">
        <v>651</v>
      </c>
      <c r="C119" s="24" t="s">
        <v>346</v>
      </c>
      <c r="D119" s="16" t="s">
        <v>645</v>
      </c>
      <c r="E119" s="18" t="s">
        <v>646</v>
      </c>
      <c r="F119" s="75" t="s">
        <v>348</v>
      </c>
      <c r="G119" s="76" t="s">
        <v>647</v>
      </c>
      <c r="H119" s="19" t="s">
        <v>41</v>
      </c>
      <c r="I119" s="86" t="s">
        <v>350</v>
      </c>
      <c r="J119" s="15">
        <v>89</v>
      </c>
      <c r="K119" s="39">
        <v>19.3</v>
      </c>
      <c r="L119" s="39">
        <v>19.3</v>
      </c>
      <c r="M119" s="142">
        <v>23.94</v>
      </c>
      <c r="N119" s="39">
        <v>23.94</v>
      </c>
      <c r="O119" s="26">
        <v>1</v>
      </c>
      <c r="P119" s="37">
        <v>0.11</v>
      </c>
      <c r="Q119" s="37">
        <f t="shared" si="1"/>
        <v>9.7900000000000009</v>
      </c>
      <c r="R119" s="58">
        <v>3923299000</v>
      </c>
      <c r="S119" s="55">
        <v>6.5000000000000002E-2</v>
      </c>
      <c r="T119" s="103" t="s">
        <v>648</v>
      </c>
      <c r="U119" s="103">
        <v>6.99</v>
      </c>
      <c r="V119" s="103">
        <v>0.2</v>
      </c>
      <c r="W119" s="104" t="s">
        <v>351</v>
      </c>
    </row>
    <row r="120" spans="1:23" s="3" customFormat="1" ht="18" customHeight="1">
      <c r="A120" s="15">
        <v>118</v>
      </c>
      <c r="B120" s="25" t="s">
        <v>652</v>
      </c>
      <c r="C120" s="24" t="s">
        <v>346</v>
      </c>
      <c r="D120" s="16" t="s">
        <v>645</v>
      </c>
      <c r="E120" s="18" t="s">
        <v>646</v>
      </c>
      <c r="F120" s="75" t="s">
        <v>348</v>
      </c>
      <c r="G120" s="76" t="s">
        <v>647</v>
      </c>
      <c r="H120" s="19" t="s">
        <v>41</v>
      </c>
      <c r="I120" s="87" t="s">
        <v>350</v>
      </c>
      <c r="J120" s="15">
        <v>89</v>
      </c>
      <c r="K120" s="39">
        <v>19.3</v>
      </c>
      <c r="L120" s="39">
        <v>19.3</v>
      </c>
      <c r="M120" s="142">
        <v>23.94</v>
      </c>
      <c r="N120" s="39">
        <v>23.94</v>
      </c>
      <c r="O120" s="26">
        <v>1</v>
      </c>
      <c r="P120" s="37">
        <v>0.11</v>
      </c>
      <c r="Q120" s="37">
        <f t="shared" si="1"/>
        <v>9.7900000000000009</v>
      </c>
      <c r="R120" s="54">
        <v>3923299000</v>
      </c>
      <c r="S120" s="55">
        <v>6.5000000000000002E-2</v>
      </c>
      <c r="T120" s="103" t="s">
        <v>648</v>
      </c>
      <c r="U120" s="103">
        <v>6.99</v>
      </c>
      <c r="V120" s="103">
        <v>0.2</v>
      </c>
      <c r="W120" s="104" t="s">
        <v>351</v>
      </c>
    </row>
    <row r="121" spans="1:23" s="3" customFormat="1" ht="18" customHeight="1">
      <c r="A121" s="15">
        <v>119</v>
      </c>
      <c r="B121" s="15" t="s">
        <v>653</v>
      </c>
      <c r="C121" s="24" t="s">
        <v>357</v>
      </c>
      <c r="D121" s="16" t="s">
        <v>645</v>
      </c>
      <c r="E121" s="22" t="s">
        <v>358</v>
      </c>
      <c r="F121" s="76" t="s">
        <v>41</v>
      </c>
      <c r="G121" s="75" t="s">
        <v>359</v>
      </c>
      <c r="H121" s="19" t="s">
        <v>41</v>
      </c>
      <c r="I121" s="69" t="s">
        <v>654</v>
      </c>
      <c r="J121" s="15">
        <v>9</v>
      </c>
      <c r="K121" s="39">
        <v>9.06</v>
      </c>
      <c r="L121" s="39">
        <v>9.06</v>
      </c>
      <c r="M121" s="142">
        <v>9.5299999999999994</v>
      </c>
      <c r="N121" s="39">
        <v>9.5299999999999994</v>
      </c>
      <c r="O121" s="26">
        <v>1</v>
      </c>
      <c r="P121" s="37">
        <v>1.32</v>
      </c>
      <c r="Q121" s="37">
        <f t="shared" si="1"/>
        <v>11.88</v>
      </c>
      <c r="R121" s="54">
        <v>9205909000</v>
      </c>
      <c r="S121" s="55">
        <v>3.2000000000000001E-2</v>
      </c>
      <c r="T121" s="103" t="s">
        <v>655</v>
      </c>
      <c r="U121" s="103">
        <v>18.989999999999998</v>
      </c>
      <c r="V121" s="103">
        <v>0.84</v>
      </c>
      <c r="W121" s="106" t="s">
        <v>361</v>
      </c>
    </row>
    <row r="122" spans="1:23" s="3" customFormat="1" ht="18" customHeight="1">
      <c r="A122" s="15">
        <v>120</v>
      </c>
      <c r="B122" s="15" t="s">
        <v>656</v>
      </c>
      <c r="C122" s="24" t="s">
        <v>357</v>
      </c>
      <c r="D122" s="16" t="s">
        <v>645</v>
      </c>
      <c r="E122" s="22" t="s">
        <v>358</v>
      </c>
      <c r="F122" s="76" t="s">
        <v>41</v>
      </c>
      <c r="G122" s="75" t="s">
        <v>359</v>
      </c>
      <c r="H122" s="19" t="s">
        <v>41</v>
      </c>
      <c r="I122" s="69" t="s">
        <v>654</v>
      </c>
      <c r="J122" s="15">
        <v>11</v>
      </c>
      <c r="K122" s="39">
        <v>10.74</v>
      </c>
      <c r="L122" s="39">
        <v>10.74</v>
      </c>
      <c r="M122" s="142">
        <v>11.31</v>
      </c>
      <c r="N122" s="39">
        <v>11.31</v>
      </c>
      <c r="O122" s="26">
        <v>1</v>
      </c>
      <c r="P122" s="37">
        <v>1.32</v>
      </c>
      <c r="Q122" s="37">
        <f t="shared" si="1"/>
        <v>14.520000000000001</v>
      </c>
      <c r="R122" s="54">
        <v>9205909000</v>
      </c>
      <c r="S122" s="55">
        <v>3.2000000000000001E-2</v>
      </c>
      <c r="T122" s="103" t="s">
        <v>655</v>
      </c>
      <c r="U122" s="103">
        <v>18.989999999999998</v>
      </c>
      <c r="V122" s="103">
        <v>0.84</v>
      </c>
      <c r="W122" s="107" t="s">
        <v>361</v>
      </c>
    </row>
    <row r="123" spans="1:23" s="3" customFormat="1" ht="18" customHeight="1">
      <c r="A123" s="15">
        <v>121</v>
      </c>
      <c r="B123" s="15" t="s">
        <v>657</v>
      </c>
      <c r="C123" s="24" t="s">
        <v>357</v>
      </c>
      <c r="D123" s="16" t="s">
        <v>645</v>
      </c>
      <c r="E123" s="22" t="s">
        <v>358</v>
      </c>
      <c r="F123" s="76" t="s">
        <v>41</v>
      </c>
      <c r="G123" s="75" t="s">
        <v>359</v>
      </c>
      <c r="H123" s="19" t="s">
        <v>41</v>
      </c>
      <c r="I123" s="69" t="s">
        <v>654</v>
      </c>
      <c r="J123" s="15">
        <v>10</v>
      </c>
      <c r="K123" s="39">
        <v>9.9</v>
      </c>
      <c r="L123" s="39">
        <v>9.9</v>
      </c>
      <c r="M123" s="142">
        <v>10.42</v>
      </c>
      <c r="N123" s="39">
        <v>10.42</v>
      </c>
      <c r="O123" s="26">
        <v>1</v>
      </c>
      <c r="P123" s="37">
        <v>1.32</v>
      </c>
      <c r="Q123" s="37">
        <f t="shared" si="1"/>
        <v>13.200000000000001</v>
      </c>
      <c r="R123" s="54">
        <v>9205909000</v>
      </c>
      <c r="S123" s="55">
        <v>3.2000000000000001E-2</v>
      </c>
      <c r="T123" s="103" t="s">
        <v>655</v>
      </c>
      <c r="U123" s="103">
        <v>18.989999999999998</v>
      </c>
      <c r="V123" s="103">
        <v>0.84</v>
      </c>
      <c r="W123" s="107" t="s">
        <v>361</v>
      </c>
    </row>
    <row r="124" spans="1:23" s="3" customFormat="1" ht="18" customHeight="1">
      <c r="A124" s="15">
        <v>122</v>
      </c>
      <c r="B124" s="15" t="s">
        <v>658</v>
      </c>
      <c r="C124" s="77" t="s">
        <v>365</v>
      </c>
      <c r="D124" s="16" t="s">
        <v>659</v>
      </c>
      <c r="E124" s="18" t="s">
        <v>660</v>
      </c>
      <c r="F124" s="78" t="s">
        <v>41</v>
      </c>
      <c r="G124" s="79" t="s">
        <v>367</v>
      </c>
      <c r="H124" s="80" t="s">
        <v>41</v>
      </c>
      <c r="I124" s="33" t="s">
        <v>368</v>
      </c>
      <c r="J124" s="15">
        <v>216</v>
      </c>
      <c r="K124" s="85">
        <v>33.9</v>
      </c>
      <c r="L124" s="34">
        <v>6.48</v>
      </c>
      <c r="M124" s="85">
        <v>6.48</v>
      </c>
      <c r="N124" s="85">
        <v>6.48</v>
      </c>
      <c r="O124" s="25">
        <v>1</v>
      </c>
      <c r="P124" s="37">
        <v>0.26</v>
      </c>
      <c r="Q124" s="37">
        <f t="shared" si="1"/>
        <v>56.160000000000004</v>
      </c>
      <c r="R124" s="54">
        <v>6208990099</v>
      </c>
      <c r="S124" s="55">
        <v>0.12</v>
      </c>
      <c r="T124" s="108" t="s">
        <v>661</v>
      </c>
      <c r="U124" s="108">
        <v>1.99</v>
      </c>
      <c r="V124" s="108">
        <v>0.15</v>
      </c>
      <c r="W124" s="109" t="s">
        <v>369</v>
      </c>
    </row>
    <row r="125" spans="1:23" s="3" customFormat="1" ht="18" customHeight="1">
      <c r="A125" s="15">
        <v>123</v>
      </c>
      <c r="B125" s="15" t="s">
        <v>662</v>
      </c>
      <c r="C125" s="77" t="s">
        <v>365</v>
      </c>
      <c r="D125" s="16" t="s">
        <v>659</v>
      </c>
      <c r="E125" s="18" t="s">
        <v>660</v>
      </c>
      <c r="F125" s="78" t="s">
        <v>41</v>
      </c>
      <c r="G125" s="79" t="s">
        <v>367</v>
      </c>
      <c r="H125" s="80" t="s">
        <v>41</v>
      </c>
      <c r="I125" s="33" t="s">
        <v>368</v>
      </c>
      <c r="J125" s="15">
        <v>216</v>
      </c>
      <c r="K125" s="85">
        <v>33.9</v>
      </c>
      <c r="L125" s="34">
        <v>6.48</v>
      </c>
      <c r="M125" s="85">
        <v>6.48</v>
      </c>
      <c r="N125" s="85">
        <v>6.48</v>
      </c>
      <c r="O125" s="25">
        <v>1</v>
      </c>
      <c r="P125" s="37">
        <v>0.26</v>
      </c>
      <c r="Q125" s="37">
        <f t="shared" si="1"/>
        <v>56.160000000000004</v>
      </c>
      <c r="R125" s="54">
        <v>6208990099</v>
      </c>
      <c r="S125" s="55">
        <v>0.12</v>
      </c>
      <c r="T125" s="108" t="s">
        <v>661</v>
      </c>
      <c r="U125" s="108">
        <v>1.99</v>
      </c>
      <c r="V125" s="108">
        <v>0.15</v>
      </c>
      <c r="W125" s="110" t="s">
        <v>369</v>
      </c>
    </row>
    <row r="126" spans="1:23" s="3" customFormat="1" ht="18" customHeight="1">
      <c r="A126" s="15">
        <v>124</v>
      </c>
      <c r="B126" s="15" t="s">
        <v>663</v>
      </c>
      <c r="C126" s="77" t="s">
        <v>365</v>
      </c>
      <c r="D126" s="16" t="s">
        <v>659</v>
      </c>
      <c r="E126" s="18" t="s">
        <v>660</v>
      </c>
      <c r="F126" s="78" t="s">
        <v>41</v>
      </c>
      <c r="G126" s="79" t="s">
        <v>367</v>
      </c>
      <c r="H126" s="80" t="s">
        <v>41</v>
      </c>
      <c r="I126" s="33" t="s">
        <v>368</v>
      </c>
      <c r="J126" s="15">
        <v>216</v>
      </c>
      <c r="K126" s="85">
        <v>33.9</v>
      </c>
      <c r="L126" s="34">
        <v>6.48</v>
      </c>
      <c r="M126" s="85">
        <v>6.48</v>
      </c>
      <c r="N126" s="85">
        <v>6.48</v>
      </c>
      <c r="O126" s="25">
        <v>1</v>
      </c>
      <c r="P126" s="37">
        <v>0.26</v>
      </c>
      <c r="Q126" s="37">
        <f t="shared" si="1"/>
        <v>56.160000000000004</v>
      </c>
      <c r="R126" s="54">
        <v>6208990099</v>
      </c>
      <c r="S126" s="55">
        <v>0.12</v>
      </c>
      <c r="T126" s="108" t="s">
        <v>661</v>
      </c>
      <c r="U126" s="108">
        <v>1.99</v>
      </c>
      <c r="V126" s="108">
        <v>0.15</v>
      </c>
      <c r="W126" s="110" t="s">
        <v>369</v>
      </c>
    </row>
    <row r="127" spans="1:23" s="3" customFormat="1" ht="18" customHeight="1">
      <c r="A127" s="15">
        <v>125</v>
      </c>
      <c r="B127" s="23" t="s">
        <v>664</v>
      </c>
      <c r="C127" s="24" t="s">
        <v>80</v>
      </c>
      <c r="D127" s="16" t="s">
        <v>463</v>
      </c>
      <c r="E127" s="22" t="s">
        <v>81</v>
      </c>
      <c r="F127" s="19" t="s">
        <v>41</v>
      </c>
      <c r="G127" s="20" t="s">
        <v>464</v>
      </c>
      <c r="H127" s="19" t="s">
        <v>41</v>
      </c>
      <c r="I127" s="16" t="s">
        <v>665</v>
      </c>
      <c r="J127" s="42">
        <v>128</v>
      </c>
      <c r="K127" s="39">
        <v>7.26</v>
      </c>
      <c r="L127" s="39">
        <v>7.26</v>
      </c>
      <c r="M127" s="142">
        <v>13.93</v>
      </c>
      <c r="N127" s="39">
        <v>13.93</v>
      </c>
      <c r="O127" s="25">
        <v>1</v>
      </c>
      <c r="P127" s="37">
        <v>0.08</v>
      </c>
      <c r="Q127" s="37">
        <f t="shared" si="1"/>
        <v>10.24</v>
      </c>
      <c r="R127" s="54">
        <v>9609909000</v>
      </c>
      <c r="S127" s="55">
        <v>1.7000000000000001E-2</v>
      </c>
      <c r="T127" s="16" t="s">
        <v>466</v>
      </c>
      <c r="U127" s="16">
        <v>7.99</v>
      </c>
      <c r="V127" s="16">
        <v>4.4999999999999998E-2</v>
      </c>
      <c r="W127" s="111" t="s">
        <v>375</v>
      </c>
    </row>
    <row r="128" spans="1:23" s="3" customFormat="1" ht="18" customHeight="1">
      <c r="A128" s="15">
        <v>126</v>
      </c>
      <c r="B128" s="23" t="s">
        <v>666</v>
      </c>
      <c r="C128" s="24" t="s">
        <v>80</v>
      </c>
      <c r="D128" s="16" t="s">
        <v>463</v>
      </c>
      <c r="E128" s="22" t="s">
        <v>81</v>
      </c>
      <c r="F128" s="19" t="s">
        <v>41</v>
      </c>
      <c r="G128" s="20" t="s">
        <v>464</v>
      </c>
      <c r="H128" s="19" t="s">
        <v>41</v>
      </c>
      <c r="I128" s="16" t="s">
        <v>665</v>
      </c>
      <c r="J128" s="42">
        <v>128</v>
      </c>
      <c r="K128" s="39">
        <v>7.26</v>
      </c>
      <c r="L128" s="39">
        <v>7.26</v>
      </c>
      <c r="M128" s="142">
        <v>13.93</v>
      </c>
      <c r="N128" s="39">
        <v>13.93</v>
      </c>
      <c r="O128" s="25">
        <v>1</v>
      </c>
      <c r="P128" s="37">
        <v>0.08</v>
      </c>
      <c r="Q128" s="37">
        <f t="shared" si="1"/>
        <v>10.24</v>
      </c>
      <c r="R128" s="54">
        <v>9609909000</v>
      </c>
      <c r="S128" s="55">
        <v>1.7000000000000001E-2</v>
      </c>
      <c r="T128" s="16" t="s">
        <v>466</v>
      </c>
      <c r="U128" s="16">
        <v>7.99</v>
      </c>
      <c r="V128" s="16">
        <v>4.4999999999999998E-2</v>
      </c>
      <c r="W128" s="111" t="s">
        <v>375</v>
      </c>
    </row>
    <row r="129" spans="1:23" s="3" customFormat="1" ht="18" customHeight="1">
      <c r="A129" s="15">
        <v>127</v>
      </c>
      <c r="B129" s="23" t="s">
        <v>667</v>
      </c>
      <c r="C129" s="24" t="s">
        <v>80</v>
      </c>
      <c r="D129" s="16" t="s">
        <v>463</v>
      </c>
      <c r="E129" s="22" t="s">
        <v>81</v>
      </c>
      <c r="F129" s="19" t="s">
        <v>41</v>
      </c>
      <c r="G129" s="20" t="s">
        <v>464</v>
      </c>
      <c r="H129" s="19" t="s">
        <v>41</v>
      </c>
      <c r="I129" s="16" t="s">
        <v>665</v>
      </c>
      <c r="J129" s="42">
        <v>128</v>
      </c>
      <c r="K129" s="39">
        <v>7.26</v>
      </c>
      <c r="L129" s="39">
        <v>7.26</v>
      </c>
      <c r="M129" s="142">
        <v>13.93</v>
      </c>
      <c r="N129" s="39">
        <v>13.93</v>
      </c>
      <c r="O129" s="25">
        <v>1</v>
      </c>
      <c r="P129" s="37">
        <v>0.08</v>
      </c>
      <c r="Q129" s="37">
        <f t="shared" si="1"/>
        <v>10.24</v>
      </c>
      <c r="R129" s="54">
        <v>9609909000</v>
      </c>
      <c r="S129" s="55">
        <v>1.7000000000000001E-2</v>
      </c>
      <c r="T129" s="16" t="s">
        <v>466</v>
      </c>
      <c r="U129" s="16">
        <v>7.99</v>
      </c>
      <c r="V129" s="16">
        <v>4.4999999999999998E-2</v>
      </c>
      <c r="W129" s="111" t="s">
        <v>375</v>
      </c>
    </row>
    <row r="130" spans="1:23" s="3" customFormat="1" ht="18" customHeight="1">
      <c r="A130" s="15">
        <v>128</v>
      </c>
      <c r="B130" s="23" t="s">
        <v>668</v>
      </c>
      <c r="C130" s="24" t="s">
        <v>80</v>
      </c>
      <c r="D130" s="16" t="s">
        <v>463</v>
      </c>
      <c r="E130" s="22" t="s">
        <v>81</v>
      </c>
      <c r="F130" s="19" t="s">
        <v>41</v>
      </c>
      <c r="G130" s="20" t="s">
        <v>464</v>
      </c>
      <c r="H130" s="19" t="s">
        <v>41</v>
      </c>
      <c r="I130" s="16" t="s">
        <v>665</v>
      </c>
      <c r="J130" s="42">
        <v>128</v>
      </c>
      <c r="K130" s="39">
        <v>7.26</v>
      </c>
      <c r="L130" s="39">
        <v>7.26</v>
      </c>
      <c r="M130" s="142">
        <v>13.93</v>
      </c>
      <c r="N130" s="39">
        <v>13.93</v>
      </c>
      <c r="O130" s="25">
        <v>1</v>
      </c>
      <c r="P130" s="37">
        <v>0.08</v>
      </c>
      <c r="Q130" s="37">
        <f t="shared" si="1"/>
        <v>10.24</v>
      </c>
      <c r="R130" s="54">
        <v>9609909000</v>
      </c>
      <c r="S130" s="55">
        <v>1.7000000000000001E-2</v>
      </c>
      <c r="T130" s="16" t="s">
        <v>466</v>
      </c>
      <c r="U130" s="16">
        <v>7.99</v>
      </c>
      <c r="V130" s="16">
        <v>4.4999999999999998E-2</v>
      </c>
      <c r="W130" s="111" t="s">
        <v>375</v>
      </c>
    </row>
    <row r="131" spans="1:23" s="3" customFormat="1" ht="18" customHeight="1">
      <c r="A131" s="15">
        <v>129</v>
      </c>
      <c r="B131" s="23" t="s">
        <v>669</v>
      </c>
      <c r="C131" s="24" t="s">
        <v>80</v>
      </c>
      <c r="D131" s="16" t="s">
        <v>463</v>
      </c>
      <c r="E131" s="22" t="s">
        <v>81</v>
      </c>
      <c r="F131" s="19" t="s">
        <v>41</v>
      </c>
      <c r="G131" s="20" t="s">
        <v>464</v>
      </c>
      <c r="H131" s="19" t="s">
        <v>41</v>
      </c>
      <c r="I131" s="16" t="s">
        <v>665</v>
      </c>
      <c r="J131" s="42">
        <v>128</v>
      </c>
      <c r="K131" s="39">
        <v>7.26</v>
      </c>
      <c r="L131" s="39">
        <v>7.26</v>
      </c>
      <c r="M131" s="142">
        <v>13.93</v>
      </c>
      <c r="N131" s="39">
        <v>13.93</v>
      </c>
      <c r="O131" s="25">
        <v>1</v>
      </c>
      <c r="P131" s="37">
        <v>0.08</v>
      </c>
      <c r="Q131" s="37">
        <f t="shared" ref="Q131:Q143" si="2">P131*J131</f>
        <v>10.24</v>
      </c>
      <c r="R131" s="54">
        <v>9609909000</v>
      </c>
      <c r="S131" s="55">
        <v>1.7000000000000001E-2</v>
      </c>
      <c r="T131" s="16" t="s">
        <v>466</v>
      </c>
      <c r="U131" s="16">
        <v>7.99</v>
      </c>
      <c r="V131" s="16">
        <v>4.4999999999999998E-2</v>
      </c>
      <c r="W131" s="111" t="s">
        <v>375</v>
      </c>
    </row>
    <row r="132" spans="1:23" s="3" customFormat="1" ht="18" customHeight="1">
      <c r="A132" s="15">
        <v>130</v>
      </c>
      <c r="B132" s="23" t="s">
        <v>670</v>
      </c>
      <c r="C132" s="24" t="s">
        <v>80</v>
      </c>
      <c r="D132" s="16" t="s">
        <v>463</v>
      </c>
      <c r="E132" s="22" t="s">
        <v>81</v>
      </c>
      <c r="F132" s="19" t="s">
        <v>41</v>
      </c>
      <c r="G132" s="20" t="s">
        <v>464</v>
      </c>
      <c r="H132" s="19" t="s">
        <v>41</v>
      </c>
      <c r="I132" s="16" t="s">
        <v>665</v>
      </c>
      <c r="J132" s="42">
        <v>128</v>
      </c>
      <c r="K132" s="39">
        <v>7.26</v>
      </c>
      <c r="L132" s="39">
        <v>7.26</v>
      </c>
      <c r="M132" s="142">
        <v>13.93</v>
      </c>
      <c r="N132" s="39">
        <v>13.93</v>
      </c>
      <c r="O132" s="25">
        <v>1</v>
      </c>
      <c r="P132" s="37">
        <v>0.08</v>
      </c>
      <c r="Q132" s="37">
        <f t="shared" si="2"/>
        <v>10.24</v>
      </c>
      <c r="R132" s="54">
        <v>9609909000</v>
      </c>
      <c r="S132" s="55">
        <v>1.7000000000000001E-2</v>
      </c>
      <c r="T132" s="16" t="s">
        <v>466</v>
      </c>
      <c r="U132" s="16">
        <v>7.99</v>
      </c>
      <c r="V132" s="16">
        <v>4.4999999999999998E-2</v>
      </c>
      <c r="W132" s="111" t="s">
        <v>375</v>
      </c>
    </row>
    <row r="133" spans="1:23" s="3" customFormat="1" ht="18" customHeight="1">
      <c r="A133" s="15">
        <v>131</v>
      </c>
      <c r="B133" s="23" t="s">
        <v>671</v>
      </c>
      <c r="C133" s="24" t="s">
        <v>80</v>
      </c>
      <c r="D133" s="16" t="s">
        <v>463</v>
      </c>
      <c r="E133" s="22" t="s">
        <v>81</v>
      </c>
      <c r="F133" s="19" t="s">
        <v>41</v>
      </c>
      <c r="G133" s="20" t="s">
        <v>464</v>
      </c>
      <c r="H133" s="19" t="s">
        <v>41</v>
      </c>
      <c r="I133" s="16" t="s">
        <v>665</v>
      </c>
      <c r="J133" s="42">
        <v>128</v>
      </c>
      <c r="K133" s="39">
        <v>7.26</v>
      </c>
      <c r="L133" s="39">
        <v>7.26</v>
      </c>
      <c r="M133" s="142">
        <v>13.93</v>
      </c>
      <c r="N133" s="39">
        <v>13.93</v>
      </c>
      <c r="O133" s="25">
        <v>1</v>
      </c>
      <c r="P133" s="37">
        <v>0.08</v>
      </c>
      <c r="Q133" s="37">
        <f t="shared" si="2"/>
        <v>10.24</v>
      </c>
      <c r="R133" s="54">
        <v>9609909000</v>
      </c>
      <c r="S133" s="55">
        <v>1.7000000000000001E-2</v>
      </c>
      <c r="T133" s="16" t="s">
        <v>466</v>
      </c>
      <c r="U133" s="16">
        <v>7.99</v>
      </c>
      <c r="V133" s="16">
        <v>4.4999999999999998E-2</v>
      </c>
      <c r="W133" s="111" t="s">
        <v>375</v>
      </c>
    </row>
    <row r="134" spans="1:23" s="3" customFormat="1" ht="18" customHeight="1">
      <c r="A134" s="15">
        <v>132</v>
      </c>
      <c r="B134" s="23" t="s">
        <v>672</v>
      </c>
      <c r="C134" s="24" t="s">
        <v>383</v>
      </c>
      <c r="D134" s="16" t="s">
        <v>673</v>
      </c>
      <c r="E134" s="20" t="s">
        <v>384</v>
      </c>
      <c r="F134" s="112" t="s">
        <v>41</v>
      </c>
      <c r="G134" s="20" t="s">
        <v>674</v>
      </c>
      <c r="H134" s="112" t="s">
        <v>41</v>
      </c>
      <c r="I134" s="16" t="s">
        <v>675</v>
      </c>
      <c r="J134" s="16">
        <v>200</v>
      </c>
      <c r="K134" s="85">
        <v>19.100000000000001</v>
      </c>
      <c r="L134" s="85">
        <v>19.100000000000001</v>
      </c>
      <c r="M134" s="142">
        <v>29.52</v>
      </c>
      <c r="N134" s="85">
        <v>29.52</v>
      </c>
      <c r="O134" s="26">
        <v>1</v>
      </c>
      <c r="P134" s="120">
        <v>0.11</v>
      </c>
      <c r="Q134" s="120">
        <f t="shared" si="2"/>
        <v>22</v>
      </c>
      <c r="R134" s="54">
        <v>8203200000</v>
      </c>
      <c r="S134" s="55">
        <v>1.7000000000000001E-2</v>
      </c>
      <c r="T134" s="131" t="s">
        <v>676</v>
      </c>
      <c r="U134" s="132">
        <v>17.989999999999998</v>
      </c>
      <c r="V134" s="132">
        <v>0.1</v>
      </c>
      <c r="W134" s="133" t="s">
        <v>387</v>
      </c>
    </row>
    <row r="135" spans="1:23" s="3" customFormat="1" ht="18" customHeight="1">
      <c r="A135" s="15">
        <v>133</v>
      </c>
      <c r="B135" s="23" t="s">
        <v>677</v>
      </c>
      <c r="C135" s="24" t="s">
        <v>383</v>
      </c>
      <c r="D135" s="16" t="s">
        <v>673</v>
      </c>
      <c r="E135" s="20" t="s">
        <v>384</v>
      </c>
      <c r="F135" s="112" t="s">
        <v>41</v>
      </c>
      <c r="G135" s="20" t="s">
        <v>674</v>
      </c>
      <c r="H135" s="112" t="s">
        <v>41</v>
      </c>
      <c r="I135" s="16" t="s">
        <v>675</v>
      </c>
      <c r="J135" s="16">
        <v>200</v>
      </c>
      <c r="K135" s="85">
        <v>19.100000000000001</v>
      </c>
      <c r="L135" s="85">
        <v>19.100000000000001</v>
      </c>
      <c r="M135" s="142">
        <v>29.52</v>
      </c>
      <c r="N135" s="85">
        <v>29.52</v>
      </c>
      <c r="O135" s="26">
        <v>1</v>
      </c>
      <c r="P135" s="120">
        <v>0.11</v>
      </c>
      <c r="Q135" s="120">
        <f t="shared" si="2"/>
        <v>22</v>
      </c>
      <c r="R135" s="54">
        <v>8203200000</v>
      </c>
      <c r="S135" s="55">
        <v>1.7000000000000001E-2</v>
      </c>
      <c r="T135" s="131" t="s">
        <v>676</v>
      </c>
      <c r="U135" s="132">
        <v>17.989999999999998</v>
      </c>
      <c r="V135" s="132">
        <v>0.1</v>
      </c>
      <c r="W135" s="133" t="s">
        <v>387</v>
      </c>
    </row>
    <row r="136" spans="1:23" s="3" customFormat="1" ht="18" customHeight="1">
      <c r="A136" s="15">
        <v>134</v>
      </c>
      <c r="B136" s="15" t="s">
        <v>678</v>
      </c>
      <c r="C136" s="24" t="s">
        <v>390</v>
      </c>
      <c r="D136" s="16" t="s">
        <v>679</v>
      </c>
      <c r="E136" s="20" t="s">
        <v>391</v>
      </c>
      <c r="F136" s="16" t="s">
        <v>392</v>
      </c>
      <c r="G136" s="16" t="s">
        <v>680</v>
      </c>
      <c r="H136" s="16" t="s">
        <v>392</v>
      </c>
      <c r="I136" s="26" t="s">
        <v>681</v>
      </c>
      <c r="J136" s="16">
        <v>50</v>
      </c>
      <c r="K136" s="85">
        <v>19.5</v>
      </c>
      <c r="L136" s="85">
        <v>19.5</v>
      </c>
      <c r="M136" s="142">
        <v>22.11</v>
      </c>
      <c r="N136" s="85">
        <v>22.11</v>
      </c>
      <c r="O136" s="26">
        <v>1</v>
      </c>
      <c r="P136" s="120">
        <v>0.25</v>
      </c>
      <c r="Q136" s="120">
        <f t="shared" si="2"/>
        <v>12.5</v>
      </c>
      <c r="R136" s="54">
        <v>8539500000</v>
      </c>
      <c r="S136" s="55">
        <v>3.6999999999999998E-2</v>
      </c>
      <c r="T136" s="103" t="s">
        <v>682</v>
      </c>
      <c r="U136" s="103">
        <v>14.99</v>
      </c>
      <c r="V136" s="103">
        <v>0.36</v>
      </c>
      <c r="W136" s="134" t="s">
        <v>395</v>
      </c>
    </row>
    <row r="137" spans="1:23" s="3" customFormat="1" ht="18" customHeight="1">
      <c r="A137" s="15">
        <v>135</v>
      </c>
      <c r="B137" s="15" t="s">
        <v>683</v>
      </c>
      <c r="C137" s="24" t="s">
        <v>390</v>
      </c>
      <c r="D137" s="16" t="s">
        <v>679</v>
      </c>
      <c r="E137" s="20" t="s">
        <v>391</v>
      </c>
      <c r="F137" s="16" t="s">
        <v>392</v>
      </c>
      <c r="G137" s="16" t="s">
        <v>680</v>
      </c>
      <c r="H137" s="16" t="s">
        <v>392</v>
      </c>
      <c r="I137" s="26" t="s">
        <v>681</v>
      </c>
      <c r="J137" s="16">
        <v>50</v>
      </c>
      <c r="K137" s="85">
        <v>19.5</v>
      </c>
      <c r="L137" s="85">
        <v>19.5</v>
      </c>
      <c r="M137" s="142">
        <v>22.11</v>
      </c>
      <c r="N137" s="85">
        <v>22.11</v>
      </c>
      <c r="O137" s="26">
        <v>1</v>
      </c>
      <c r="P137" s="120">
        <v>0.25</v>
      </c>
      <c r="Q137" s="120">
        <f t="shared" si="2"/>
        <v>12.5</v>
      </c>
      <c r="R137" s="54">
        <v>8539500000</v>
      </c>
      <c r="S137" s="55">
        <v>3.6999999999999998E-2</v>
      </c>
      <c r="T137" s="103" t="s">
        <v>682</v>
      </c>
      <c r="U137" s="103">
        <v>14.99</v>
      </c>
      <c r="V137" s="103">
        <v>0.36</v>
      </c>
      <c r="W137" s="135" t="s">
        <v>395</v>
      </c>
    </row>
    <row r="138" spans="1:23" s="3" customFormat="1" ht="18" customHeight="1">
      <c r="A138" s="15">
        <v>136</v>
      </c>
      <c r="B138" s="15" t="s">
        <v>684</v>
      </c>
      <c r="C138" s="24" t="s">
        <v>390</v>
      </c>
      <c r="D138" s="16" t="s">
        <v>679</v>
      </c>
      <c r="E138" s="20" t="s">
        <v>391</v>
      </c>
      <c r="F138" s="16" t="s">
        <v>392</v>
      </c>
      <c r="G138" s="16" t="s">
        <v>680</v>
      </c>
      <c r="H138" s="16" t="s">
        <v>392</v>
      </c>
      <c r="I138" s="26" t="s">
        <v>681</v>
      </c>
      <c r="J138" s="16">
        <v>45</v>
      </c>
      <c r="K138" s="85">
        <v>17.7</v>
      </c>
      <c r="L138" s="85">
        <v>17.7</v>
      </c>
      <c r="M138" s="142">
        <v>20.04</v>
      </c>
      <c r="N138" s="85">
        <v>20.04</v>
      </c>
      <c r="O138" s="26">
        <v>1</v>
      </c>
      <c r="P138" s="120">
        <v>0.25</v>
      </c>
      <c r="Q138" s="120">
        <f t="shared" si="2"/>
        <v>11.25</v>
      </c>
      <c r="R138" s="54">
        <v>8539500000</v>
      </c>
      <c r="S138" s="55">
        <v>3.6999999999999998E-2</v>
      </c>
      <c r="T138" s="103" t="s">
        <v>682</v>
      </c>
      <c r="U138" s="103">
        <v>14.99</v>
      </c>
      <c r="V138" s="103">
        <v>0.36</v>
      </c>
      <c r="W138" s="135" t="s">
        <v>398</v>
      </c>
    </row>
    <row r="139" spans="1:23" s="3" customFormat="1" ht="18" customHeight="1">
      <c r="A139" s="15">
        <v>137</v>
      </c>
      <c r="B139" s="15" t="s">
        <v>685</v>
      </c>
      <c r="C139" s="24" t="s">
        <v>390</v>
      </c>
      <c r="D139" s="16" t="s">
        <v>679</v>
      </c>
      <c r="E139" s="22" t="s">
        <v>391</v>
      </c>
      <c r="F139" s="16" t="s">
        <v>392</v>
      </c>
      <c r="G139" s="16" t="s">
        <v>680</v>
      </c>
      <c r="H139" s="16" t="s">
        <v>392</v>
      </c>
      <c r="I139" s="26" t="s">
        <v>681</v>
      </c>
      <c r="J139" s="16">
        <v>45</v>
      </c>
      <c r="K139" s="39">
        <v>17.7</v>
      </c>
      <c r="L139" s="39">
        <v>17.7</v>
      </c>
      <c r="M139" s="142">
        <v>20.04</v>
      </c>
      <c r="N139" s="39">
        <v>20.04</v>
      </c>
      <c r="O139" s="25">
        <v>1</v>
      </c>
      <c r="P139" s="37">
        <v>0.25</v>
      </c>
      <c r="Q139" s="37">
        <f t="shared" si="2"/>
        <v>11.25</v>
      </c>
      <c r="R139" s="54">
        <v>8539500000</v>
      </c>
      <c r="S139" s="55">
        <v>3.6999999999999998E-2</v>
      </c>
      <c r="T139" s="103" t="s">
        <v>682</v>
      </c>
      <c r="U139" s="103">
        <v>14.99</v>
      </c>
      <c r="V139" s="103">
        <v>0.36</v>
      </c>
      <c r="W139" s="135" t="s">
        <v>398</v>
      </c>
    </row>
    <row r="140" spans="1:23" s="3" customFormat="1" ht="18" customHeight="1">
      <c r="A140" s="15">
        <v>138</v>
      </c>
      <c r="B140" s="15" t="s">
        <v>686</v>
      </c>
      <c r="C140" s="24" t="s">
        <v>390</v>
      </c>
      <c r="D140" s="16" t="s">
        <v>679</v>
      </c>
      <c r="E140" s="22" t="s">
        <v>391</v>
      </c>
      <c r="F140" s="16" t="s">
        <v>392</v>
      </c>
      <c r="G140" s="16" t="s">
        <v>680</v>
      </c>
      <c r="H140" s="16" t="s">
        <v>392</v>
      </c>
      <c r="I140" s="26" t="s">
        <v>681</v>
      </c>
      <c r="J140" s="16">
        <v>45</v>
      </c>
      <c r="K140" s="39">
        <v>17.7</v>
      </c>
      <c r="L140" s="39">
        <v>17.7</v>
      </c>
      <c r="M140" s="142">
        <v>20.04</v>
      </c>
      <c r="N140" s="39">
        <v>20.04</v>
      </c>
      <c r="O140" s="25">
        <v>1</v>
      </c>
      <c r="P140" s="37">
        <v>0.25</v>
      </c>
      <c r="Q140" s="37">
        <f t="shared" si="2"/>
        <v>11.25</v>
      </c>
      <c r="R140" s="54">
        <v>8539500000</v>
      </c>
      <c r="S140" s="55">
        <v>3.6999999999999998E-2</v>
      </c>
      <c r="T140" s="103" t="s">
        <v>682</v>
      </c>
      <c r="U140" s="103">
        <v>14.99</v>
      </c>
      <c r="V140" s="103">
        <v>0.36</v>
      </c>
      <c r="W140" s="135" t="s">
        <v>401</v>
      </c>
    </row>
    <row r="141" spans="1:23" s="3" customFormat="1" ht="18" customHeight="1">
      <c r="A141" s="15">
        <v>139</v>
      </c>
      <c r="B141" s="15" t="s">
        <v>687</v>
      </c>
      <c r="C141" s="24" t="s">
        <v>390</v>
      </c>
      <c r="D141" s="16" t="s">
        <v>679</v>
      </c>
      <c r="E141" s="22" t="s">
        <v>391</v>
      </c>
      <c r="F141" s="16" t="s">
        <v>392</v>
      </c>
      <c r="G141" s="16" t="s">
        <v>680</v>
      </c>
      <c r="H141" s="16" t="s">
        <v>392</v>
      </c>
      <c r="I141" s="26" t="s">
        <v>681</v>
      </c>
      <c r="J141" s="16">
        <v>45</v>
      </c>
      <c r="K141" s="39">
        <v>17.7</v>
      </c>
      <c r="L141" s="39">
        <v>17.7</v>
      </c>
      <c r="M141" s="142">
        <v>20.04</v>
      </c>
      <c r="N141" s="39">
        <v>20.04</v>
      </c>
      <c r="O141" s="25">
        <v>1</v>
      </c>
      <c r="P141" s="37">
        <v>0.25</v>
      </c>
      <c r="Q141" s="37">
        <f t="shared" si="2"/>
        <v>11.25</v>
      </c>
      <c r="R141" s="54">
        <v>8539500000</v>
      </c>
      <c r="S141" s="55">
        <v>3.6999999999999998E-2</v>
      </c>
      <c r="T141" s="103" t="s">
        <v>682</v>
      </c>
      <c r="U141" s="103">
        <v>14.99</v>
      </c>
      <c r="V141" s="103">
        <v>0.36</v>
      </c>
      <c r="W141" s="135" t="s">
        <v>401</v>
      </c>
    </row>
    <row r="142" spans="1:23" s="3" customFormat="1" ht="18" customHeight="1">
      <c r="A142" s="15">
        <v>140</v>
      </c>
      <c r="B142" s="15" t="s">
        <v>688</v>
      </c>
      <c r="C142" s="24" t="s">
        <v>390</v>
      </c>
      <c r="D142" s="16" t="s">
        <v>679</v>
      </c>
      <c r="E142" s="22" t="s">
        <v>391</v>
      </c>
      <c r="F142" s="16" t="s">
        <v>392</v>
      </c>
      <c r="G142" s="16" t="s">
        <v>680</v>
      </c>
      <c r="H142" s="16" t="s">
        <v>392</v>
      </c>
      <c r="I142" s="26" t="s">
        <v>681</v>
      </c>
      <c r="J142" s="16">
        <v>45</v>
      </c>
      <c r="K142" s="39">
        <v>17.7</v>
      </c>
      <c r="L142" s="39">
        <v>17.7</v>
      </c>
      <c r="M142" s="142">
        <v>20.04</v>
      </c>
      <c r="N142" s="39">
        <v>20.04</v>
      </c>
      <c r="O142" s="25">
        <v>1</v>
      </c>
      <c r="P142" s="37">
        <v>0.25</v>
      </c>
      <c r="Q142" s="37">
        <f t="shared" si="2"/>
        <v>11.25</v>
      </c>
      <c r="R142" s="54">
        <v>8539500000</v>
      </c>
      <c r="S142" s="55">
        <v>3.6999999999999998E-2</v>
      </c>
      <c r="T142" s="103" t="s">
        <v>682</v>
      </c>
      <c r="U142" s="103">
        <v>14.99</v>
      </c>
      <c r="V142" s="103">
        <v>0.36</v>
      </c>
      <c r="W142" s="135" t="s">
        <v>404</v>
      </c>
    </row>
    <row r="143" spans="1:23" s="3" customFormat="1" ht="18" customHeight="1">
      <c r="A143" s="15">
        <v>141</v>
      </c>
      <c r="B143" s="15" t="s">
        <v>689</v>
      </c>
      <c r="C143" s="24" t="s">
        <v>390</v>
      </c>
      <c r="D143" s="16" t="s">
        <v>679</v>
      </c>
      <c r="E143" s="22" t="s">
        <v>391</v>
      </c>
      <c r="F143" s="16" t="s">
        <v>392</v>
      </c>
      <c r="G143" s="16" t="s">
        <v>680</v>
      </c>
      <c r="H143" s="16" t="s">
        <v>392</v>
      </c>
      <c r="I143" s="26" t="s">
        <v>681</v>
      </c>
      <c r="J143" s="16">
        <v>45</v>
      </c>
      <c r="K143" s="39">
        <v>17.7</v>
      </c>
      <c r="L143" s="39">
        <v>17.7</v>
      </c>
      <c r="M143" s="142">
        <v>20.04</v>
      </c>
      <c r="N143" s="39">
        <v>20.04</v>
      </c>
      <c r="O143" s="25">
        <v>1</v>
      </c>
      <c r="P143" s="37">
        <v>0.25</v>
      </c>
      <c r="Q143" s="37">
        <f t="shared" si="2"/>
        <v>11.25</v>
      </c>
      <c r="R143" s="54">
        <v>8539500000</v>
      </c>
      <c r="S143" s="55">
        <v>3.6999999999999998E-2</v>
      </c>
      <c r="T143" s="103" t="s">
        <v>682</v>
      </c>
      <c r="U143" s="103">
        <v>14.99</v>
      </c>
      <c r="V143" s="103">
        <v>0.36</v>
      </c>
      <c r="W143" s="135" t="s">
        <v>404</v>
      </c>
    </row>
    <row r="144" spans="1:23" s="3" customFormat="1" ht="18" customHeight="1">
      <c r="A144" s="74"/>
      <c r="B144" s="113" t="s">
        <v>406</v>
      </c>
      <c r="C144" s="113"/>
      <c r="D144" s="16"/>
      <c r="E144" s="113"/>
      <c r="F144" s="113"/>
      <c r="G144" s="113"/>
      <c r="H144" s="114"/>
      <c r="I144" s="121"/>
      <c r="J144" s="122">
        <f t="shared" ref="J144:M144" si="3">SUM(J3:J143)</f>
        <v>6079</v>
      </c>
      <c r="K144" s="123">
        <f t="shared" si="3"/>
        <v>1474.0000000000007</v>
      </c>
      <c r="L144" s="123">
        <f t="shared" si="3"/>
        <v>1220.4399999999998</v>
      </c>
      <c r="M144" s="123">
        <f t="shared" si="3"/>
        <v>1473.6299999999999</v>
      </c>
      <c r="N144" s="123">
        <f>SUM(N3:N143)</f>
        <v>1473.9999999999998</v>
      </c>
      <c r="O144" s="113">
        <f>SUM(O3:O143)</f>
        <v>89</v>
      </c>
      <c r="P144" s="125"/>
      <c r="Q144" s="125">
        <f>SUM(Q3:Q143)</f>
        <v>2456.4699999999975</v>
      </c>
      <c r="R144" s="136"/>
      <c r="S144" s="137"/>
      <c r="T144" s="138"/>
      <c r="U144" s="138"/>
      <c r="V144" s="138"/>
      <c r="W144" s="139"/>
    </row>
    <row r="145" spans="1:23" s="3" customFormat="1" ht="18" customHeight="1">
      <c r="A145" s="4"/>
      <c r="K145" s="3">
        <v>1474</v>
      </c>
      <c r="L145" s="117" t="s">
        <v>710</v>
      </c>
      <c r="M145" s="117" t="s">
        <v>711</v>
      </c>
      <c r="N145" s="117" t="s">
        <v>711</v>
      </c>
      <c r="P145" s="6"/>
      <c r="Q145" s="6"/>
      <c r="S145" s="7"/>
      <c r="T145" s="8"/>
      <c r="U145" s="8"/>
      <c r="V145" s="8"/>
    </row>
    <row r="146" spans="1:23" s="3" customFormat="1" ht="18" customHeight="1">
      <c r="A146" s="4"/>
      <c r="P146" s="6"/>
      <c r="Q146" s="6"/>
      <c r="S146" s="7"/>
      <c r="T146" s="8"/>
      <c r="U146" s="8"/>
      <c r="V146" s="8"/>
    </row>
    <row r="147" spans="1:23" s="3" customFormat="1" ht="18" customHeight="1">
      <c r="A147" s="4"/>
      <c r="I147" s="5"/>
      <c r="P147" s="6"/>
      <c r="Q147" s="6"/>
      <c r="S147" s="7"/>
      <c r="T147" s="8"/>
      <c r="U147" s="8"/>
      <c r="V147" s="8"/>
    </row>
    <row r="148" spans="1:23" s="2" customFormat="1" ht="18" customHeight="1">
      <c r="A148" s="115"/>
      <c r="C148" s="116"/>
      <c r="D148" s="117"/>
      <c r="I148" s="127"/>
      <c r="K148" s="3"/>
      <c r="L148" s="3"/>
      <c r="M148" s="3"/>
      <c r="N148" s="3"/>
      <c r="P148" s="129"/>
      <c r="Q148" s="129"/>
      <c r="S148" s="140"/>
      <c r="T148" s="141"/>
      <c r="U148" s="141"/>
      <c r="V148" s="141"/>
      <c r="W148" s="127"/>
    </row>
    <row r="149" spans="1:23" s="3" customFormat="1" ht="18" customHeight="1">
      <c r="A149" s="4"/>
      <c r="D149" s="117"/>
      <c r="I149" s="5"/>
      <c r="P149" s="6"/>
      <c r="Q149" s="6"/>
      <c r="S149" s="7"/>
      <c r="T149" s="8"/>
      <c r="U149" s="8"/>
      <c r="V149" s="8"/>
    </row>
    <row r="150" spans="1:23" s="3" customFormat="1" ht="18" customHeight="1">
      <c r="A150" s="4"/>
      <c r="I150" s="5"/>
      <c r="P150" s="6"/>
      <c r="Q150" s="6"/>
      <c r="S150" s="7"/>
      <c r="T150" s="8"/>
      <c r="U150" s="8"/>
      <c r="V150" s="8"/>
    </row>
    <row r="151" spans="1:23" s="3" customFormat="1" ht="18" customHeight="1">
      <c r="A151" s="4"/>
      <c r="D151" s="117"/>
      <c r="I151" s="5"/>
      <c r="P151" s="6"/>
      <c r="Q151" s="6"/>
      <c r="S151" s="7"/>
      <c r="T151" s="8"/>
      <c r="U151" s="8"/>
      <c r="V151" s="8"/>
    </row>
    <row r="152" spans="1:23" s="3" customFormat="1" ht="18" customHeight="1">
      <c r="A152" s="4"/>
      <c r="D152" s="117" t="s">
        <v>712</v>
      </c>
      <c r="I152" s="5"/>
      <c r="P152" s="6">
        <f>6079-1218</f>
        <v>4861</v>
      </c>
      <c r="Q152" s="6"/>
      <c r="S152" s="7"/>
      <c r="T152" s="8"/>
      <c r="U152" s="8"/>
      <c r="V152" s="8"/>
    </row>
    <row r="153" spans="1:23" s="3" customFormat="1" ht="18" customHeight="1">
      <c r="A153" s="4"/>
      <c r="D153" s="117" t="s">
        <v>713</v>
      </c>
      <c r="I153" s="5"/>
      <c r="P153" s="6"/>
      <c r="Q153" s="6"/>
      <c r="S153" s="7"/>
      <c r="T153" s="8"/>
      <c r="U153" s="8"/>
      <c r="V153" s="8"/>
    </row>
    <row r="154" spans="1:23" s="3" customFormat="1" ht="18" customHeight="1">
      <c r="A154" s="4"/>
      <c r="D154" s="118" t="s">
        <v>714</v>
      </c>
      <c r="E154" s="118" t="s">
        <v>715</v>
      </c>
      <c r="I154" s="5"/>
      <c r="P154" s="6"/>
      <c r="Q154" s="6"/>
      <c r="S154" s="7"/>
      <c r="T154" s="8"/>
      <c r="U154" s="8"/>
      <c r="V154" s="8"/>
    </row>
    <row r="155" spans="1:23" s="3" customFormat="1" ht="18" customHeight="1">
      <c r="A155" s="4"/>
      <c r="D155" s="119" t="s">
        <v>716</v>
      </c>
      <c r="E155" s="119" t="s">
        <v>717</v>
      </c>
      <c r="I155" s="5"/>
      <c r="P155" s="6"/>
      <c r="Q155" s="6"/>
      <c r="S155" s="7"/>
      <c r="T155" s="8"/>
      <c r="U155" s="8"/>
      <c r="V155" s="8"/>
    </row>
    <row r="156" spans="1:23" s="3" customFormat="1" ht="18" customHeight="1">
      <c r="A156" s="4"/>
      <c r="D156" s="119" t="s">
        <v>718</v>
      </c>
      <c r="E156" s="119" t="s">
        <v>719</v>
      </c>
      <c r="I156" s="5">
        <f>(0.07+0.1)/2</f>
        <v>8.5000000000000006E-2</v>
      </c>
      <c r="P156" s="6"/>
      <c r="Q156" s="6"/>
      <c r="S156" s="7"/>
      <c r="T156" s="8"/>
      <c r="U156" s="8"/>
      <c r="V156" s="8"/>
    </row>
    <row r="157" spans="1:23" s="3" customFormat="1" ht="18" customHeight="1">
      <c r="A157" s="4"/>
      <c r="D157" s="119" t="s">
        <v>720</v>
      </c>
      <c r="E157" s="119" t="s">
        <v>721</v>
      </c>
      <c r="I157" s="5"/>
      <c r="P157" s="6"/>
      <c r="Q157" s="6"/>
      <c r="S157" s="7"/>
      <c r="T157" s="8"/>
      <c r="U157" s="8"/>
      <c r="V157" s="8"/>
    </row>
    <row r="158" spans="1:23" s="3" customFormat="1" ht="18" customHeight="1">
      <c r="A158" s="4"/>
      <c r="D158" s="119" t="s">
        <v>722</v>
      </c>
      <c r="E158" s="119" t="s">
        <v>723</v>
      </c>
      <c r="I158" s="5"/>
      <c r="P158" s="6"/>
      <c r="Q158" s="6"/>
      <c r="S158" s="7"/>
      <c r="T158" s="8"/>
      <c r="U158" s="8"/>
      <c r="V158" s="8"/>
    </row>
    <row r="159" spans="1:23" s="3" customFormat="1" ht="18" customHeight="1">
      <c r="A159" s="4"/>
      <c r="D159" s="119" t="s">
        <v>724</v>
      </c>
      <c r="E159" s="119" t="s">
        <v>725</v>
      </c>
      <c r="I159" s="5"/>
      <c r="P159" s="6"/>
      <c r="Q159" s="6"/>
      <c r="S159" s="7"/>
      <c r="T159" s="8"/>
      <c r="U159" s="8"/>
      <c r="V159" s="8"/>
    </row>
    <row r="160" spans="1:23" s="3" customFormat="1" ht="18" customHeight="1">
      <c r="A160" s="4"/>
      <c r="D160" s="117"/>
      <c r="I160" s="5"/>
      <c r="P160" s="6"/>
      <c r="Q160" s="6"/>
      <c r="S160" s="7"/>
      <c r="T160" s="8"/>
      <c r="U160" s="8"/>
      <c r="V160" s="8"/>
    </row>
    <row r="161" spans="1:22" s="3" customFormat="1" ht="18" customHeight="1">
      <c r="A161" s="4"/>
      <c r="D161" s="117" t="s">
        <v>726</v>
      </c>
      <c r="I161" s="5"/>
      <c r="P161" s="6"/>
      <c r="Q161" s="6"/>
      <c r="S161" s="7"/>
      <c r="T161" s="8"/>
      <c r="U161" s="8"/>
      <c r="V161" s="8"/>
    </row>
    <row r="162" spans="1:22" s="3" customFormat="1" ht="18" customHeight="1">
      <c r="A162" s="4"/>
      <c r="D162" s="117" t="s">
        <v>727</v>
      </c>
      <c r="I162" s="5"/>
      <c r="P162" s="6"/>
      <c r="Q162" s="6"/>
      <c r="S162" s="7"/>
      <c r="T162" s="8"/>
      <c r="U162" s="8"/>
      <c r="V162" s="8"/>
    </row>
    <row r="163" spans="1:22" s="3" customFormat="1" ht="18" customHeight="1">
      <c r="A163" s="4"/>
      <c r="D163" s="117"/>
      <c r="I163" s="5"/>
      <c r="P163" s="6"/>
      <c r="Q163" s="6"/>
      <c r="S163" s="7"/>
      <c r="T163" s="8"/>
      <c r="U163" s="8"/>
      <c r="V163" s="8"/>
    </row>
    <row r="164" spans="1:22" s="3" customFormat="1" ht="18" customHeight="1">
      <c r="A164" s="4"/>
      <c r="D164" s="117" t="s">
        <v>728</v>
      </c>
      <c r="I164" s="5"/>
      <c r="P164" s="6"/>
      <c r="Q164" s="6"/>
      <c r="S164" s="7"/>
      <c r="T164" s="8"/>
      <c r="U164" s="8"/>
      <c r="V164" s="8"/>
    </row>
    <row r="165" spans="1:22" s="3" customFormat="1" ht="18" customHeight="1">
      <c r="A165" s="4"/>
      <c r="I165" s="5"/>
      <c r="P165" s="6"/>
      <c r="Q165" s="6"/>
      <c r="S165" s="7"/>
      <c r="T165" s="8"/>
      <c r="U165" s="8"/>
      <c r="V165" s="8"/>
    </row>
    <row r="166" spans="1:22" s="3" customFormat="1" ht="18" customHeight="1">
      <c r="A166" s="4"/>
      <c r="I166" s="5"/>
      <c r="P166" s="6"/>
      <c r="Q166" s="6"/>
      <c r="S166" s="7"/>
      <c r="T166" s="8"/>
      <c r="U166" s="8"/>
      <c r="V166" s="8"/>
    </row>
    <row r="167" spans="1:22" s="3" customFormat="1" ht="18" customHeight="1">
      <c r="A167" s="4"/>
      <c r="D167" s="117" t="s">
        <v>729</v>
      </c>
      <c r="I167" s="5"/>
      <c r="P167" s="6"/>
      <c r="Q167" s="6"/>
      <c r="S167" s="7"/>
      <c r="T167" s="8"/>
      <c r="U167" s="8"/>
      <c r="V167" s="8"/>
    </row>
    <row r="168" spans="1:22" s="3" customFormat="1" ht="18" customHeight="1">
      <c r="A168" s="4"/>
      <c r="D168" s="3" t="s">
        <v>730</v>
      </c>
      <c r="E168" s="117" t="s">
        <v>731</v>
      </c>
      <c r="I168" s="5"/>
      <c r="P168" s="6"/>
      <c r="Q168" s="6"/>
      <c r="S168" s="7"/>
      <c r="T168" s="8"/>
      <c r="U168" s="8"/>
      <c r="V168" s="8"/>
    </row>
    <row r="169" spans="1:22" s="3" customFormat="1" ht="18" customHeight="1">
      <c r="A169" s="4"/>
      <c r="D169" s="3">
        <f>1474-1220.44</f>
        <v>253.55999999999995</v>
      </c>
      <c r="E169" s="117" t="s">
        <v>732</v>
      </c>
      <c r="I169" s="5"/>
      <c r="P169" s="6"/>
      <c r="Q169" s="6"/>
      <c r="S169" s="7"/>
      <c r="T169" s="8"/>
      <c r="U169" s="8"/>
      <c r="V169" s="8"/>
    </row>
    <row r="170" spans="1:22" s="3" customFormat="1" ht="18" customHeight="1">
      <c r="A170" s="4"/>
      <c r="D170" s="3" t="s">
        <v>733</v>
      </c>
      <c r="E170" s="117" t="s">
        <v>734</v>
      </c>
      <c r="I170" s="5"/>
      <c r="P170" s="6"/>
      <c r="Q170" s="6"/>
      <c r="S170" s="7"/>
      <c r="T170" s="8"/>
      <c r="U170" s="8"/>
      <c r="V170" s="8"/>
    </row>
    <row r="171" spans="1:22" s="3" customFormat="1" ht="18" customHeight="1">
      <c r="A171" s="4"/>
      <c r="D171" s="117" t="s">
        <v>735</v>
      </c>
      <c r="I171" s="5"/>
      <c r="J171" s="3">
        <f>253.56/4861</f>
        <v>5.2162106562435716E-2</v>
      </c>
      <c r="P171" s="6"/>
      <c r="Q171" s="6"/>
      <c r="S171" s="7"/>
      <c r="T171" s="8"/>
      <c r="U171" s="8"/>
      <c r="V171" s="8"/>
    </row>
    <row r="172" spans="1:22" s="3" customFormat="1" ht="18" customHeight="1">
      <c r="A172" s="4"/>
      <c r="D172" s="3" t="s">
        <v>736</v>
      </c>
      <c r="I172" s="5"/>
      <c r="P172" s="6"/>
      <c r="Q172" s="6"/>
      <c r="S172" s="7"/>
      <c r="T172" s="8"/>
      <c r="U172" s="8"/>
      <c r="V172" s="8"/>
    </row>
    <row r="173" spans="1:22" s="3" customFormat="1" ht="18" customHeight="1">
      <c r="A173" s="4"/>
      <c r="D173" s="117" t="s">
        <v>737</v>
      </c>
      <c r="I173" s="5"/>
      <c r="P173" s="6"/>
      <c r="Q173" s="6"/>
      <c r="S173" s="7"/>
      <c r="T173" s="8"/>
      <c r="U173" s="8"/>
      <c r="V173" s="8"/>
    </row>
    <row r="174" spans="1:22" s="3" customFormat="1" ht="18" customHeight="1">
      <c r="A174" s="4"/>
      <c r="D174" s="3" t="s">
        <v>738</v>
      </c>
      <c r="I174" s="5"/>
      <c r="P174" s="6"/>
      <c r="Q174" s="6"/>
      <c r="S174" s="7"/>
      <c r="T174" s="8"/>
      <c r="U174" s="8"/>
      <c r="V174" s="8"/>
    </row>
    <row r="175" spans="1:22" s="3" customFormat="1" ht="18" customHeight="1">
      <c r="A175" s="4"/>
      <c r="D175" s="117" t="s">
        <v>739</v>
      </c>
      <c r="I175" s="5"/>
      <c r="P175" s="6"/>
      <c r="Q175" s="6"/>
      <c r="S175" s="7"/>
      <c r="T175" s="8"/>
      <c r="U175" s="8"/>
      <c r="V175" s="8"/>
    </row>
    <row r="176" spans="1:22" s="3" customFormat="1" ht="18" customHeight="1">
      <c r="A176" s="4"/>
      <c r="D176" s="117" t="s">
        <v>740</v>
      </c>
      <c r="I176" s="5"/>
      <c r="P176" s="6"/>
      <c r="Q176" s="6"/>
      <c r="S176" s="7"/>
      <c r="T176" s="8"/>
      <c r="U176" s="8"/>
      <c r="V176" s="8"/>
    </row>
    <row r="177" spans="1:22" s="3" customFormat="1" ht="18" customHeight="1">
      <c r="A177" s="4"/>
      <c r="I177" s="5"/>
      <c r="P177" s="6"/>
      <c r="Q177" s="6"/>
      <c r="S177" s="7"/>
      <c r="T177" s="8"/>
      <c r="U177" s="8"/>
      <c r="V177" s="8"/>
    </row>
    <row r="178" spans="1:22" s="3" customFormat="1" ht="18" customHeight="1">
      <c r="A178" s="4"/>
      <c r="I178" s="5"/>
      <c r="P178" s="6"/>
      <c r="Q178" s="6"/>
      <c r="S178" s="7"/>
      <c r="T178" s="8"/>
      <c r="U178" s="8"/>
      <c r="V178" s="8"/>
    </row>
    <row r="179" spans="1:22" s="3" customFormat="1" ht="18" customHeight="1">
      <c r="A179" s="4"/>
      <c r="I179" s="5"/>
      <c r="P179" s="6"/>
      <c r="Q179" s="6"/>
      <c r="S179" s="7"/>
      <c r="T179" s="8"/>
      <c r="U179" s="8"/>
      <c r="V179" s="8"/>
    </row>
    <row r="180" spans="1:22" s="3" customFormat="1" ht="18" customHeight="1">
      <c r="A180" s="4"/>
      <c r="I180" s="5"/>
      <c r="P180" s="6"/>
      <c r="Q180" s="6"/>
      <c r="S180" s="7"/>
      <c r="T180" s="8"/>
      <c r="U180" s="8"/>
      <c r="V180" s="8"/>
    </row>
    <row r="181" spans="1:22" s="3" customFormat="1" ht="18" customHeight="1">
      <c r="A181" s="4"/>
      <c r="I181" s="5"/>
      <c r="P181" s="6"/>
      <c r="Q181" s="6"/>
      <c r="S181" s="7"/>
      <c r="T181" s="8"/>
      <c r="U181" s="8"/>
      <c r="V181" s="8"/>
    </row>
    <row r="182" spans="1:22" s="3" customFormat="1" ht="18" customHeight="1">
      <c r="A182" s="4"/>
      <c r="I182" s="5"/>
      <c r="P182" s="6"/>
      <c r="Q182" s="6"/>
      <c r="S182" s="7"/>
      <c r="T182" s="8"/>
      <c r="U182" s="8"/>
      <c r="V182" s="8"/>
    </row>
    <row r="183" spans="1:22" s="3" customFormat="1" ht="18" customHeight="1">
      <c r="A183" s="4"/>
      <c r="I183" s="5"/>
      <c r="P183" s="6"/>
      <c r="Q183" s="6"/>
      <c r="S183" s="7"/>
      <c r="T183" s="8"/>
      <c r="U183" s="8"/>
      <c r="V183" s="8"/>
    </row>
    <row r="184" spans="1:22" s="3" customFormat="1" ht="18" customHeight="1">
      <c r="A184" s="4"/>
      <c r="I184" s="5"/>
      <c r="P184" s="6"/>
      <c r="Q184" s="6"/>
      <c r="S184" s="7"/>
      <c r="T184" s="8"/>
      <c r="U184" s="8"/>
      <c r="V184" s="8"/>
    </row>
    <row r="185" spans="1:22" s="3" customFormat="1" ht="18" customHeight="1">
      <c r="A185" s="4"/>
      <c r="I185" s="5"/>
      <c r="P185" s="6"/>
      <c r="Q185" s="6"/>
      <c r="S185" s="7"/>
      <c r="T185" s="8"/>
      <c r="U185" s="8"/>
      <c r="V185" s="8"/>
    </row>
    <row r="186" spans="1:22" s="3" customFormat="1" ht="18" customHeight="1">
      <c r="A186" s="4"/>
      <c r="I186" s="5"/>
      <c r="P186" s="6"/>
      <c r="Q186" s="6"/>
      <c r="S186" s="7"/>
      <c r="T186" s="8"/>
      <c r="U186" s="8"/>
      <c r="V186" s="8"/>
    </row>
    <row r="187" spans="1:22" s="3" customFormat="1" ht="18" customHeight="1">
      <c r="A187" s="4"/>
      <c r="I187" s="5"/>
      <c r="P187" s="6"/>
      <c r="Q187" s="6"/>
      <c r="S187" s="7"/>
      <c r="T187" s="8"/>
      <c r="U187" s="8"/>
      <c r="V187" s="8"/>
    </row>
    <row r="188" spans="1:22" s="3" customFormat="1" ht="18" customHeight="1">
      <c r="A188" s="4"/>
      <c r="I188" s="5"/>
      <c r="P188" s="6"/>
      <c r="Q188" s="6"/>
      <c r="S188" s="7"/>
      <c r="T188" s="8"/>
      <c r="U188" s="8"/>
      <c r="V188" s="8"/>
    </row>
    <row r="189" spans="1:22" s="3" customFormat="1" ht="18" customHeight="1">
      <c r="A189" s="4"/>
      <c r="I189" s="5"/>
      <c r="P189" s="6"/>
      <c r="Q189" s="6"/>
      <c r="S189" s="7"/>
      <c r="T189" s="8"/>
      <c r="U189" s="8"/>
      <c r="V189" s="8"/>
    </row>
    <row r="190" spans="1:22" s="3" customFormat="1" ht="18" customHeight="1">
      <c r="A190" s="4"/>
      <c r="I190" s="5"/>
      <c r="P190" s="6"/>
      <c r="Q190" s="6"/>
      <c r="S190" s="7"/>
      <c r="T190" s="8"/>
      <c r="U190" s="8"/>
      <c r="V190" s="8"/>
    </row>
    <row r="191" spans="1:22" s="3" customFormat="1" ht="18" customHeight="1">
      <c r="A191" s="4"/>
      <c r="I191" s="5"/>
      <c r="P191" s="6"/>
      <c r="Q191" s="6"/>
      <c r="S191" s="7"/>
      <c r="T191" s="8"/>
      <c r="U191" s="8"/>
      <c r="V191" s="8"/>
    </row>
    <row r="192" spans="1:22" s="3" customFormat="1" ht="18" customHeight="1">
      <c r="A192" s="4"/>
      <c r="I192" s="5"/>
      <c r="P192" s="6"/>
      <c r="Q192" s="6"/>
      <c r="S192" s="7"/>
      <c r="T192" s="8"/>
      <c r="U192" s="8"/>
      <c r="V192" s="8"/>
    </row>
    <row r="193" spans="1:22" s="3" customFormat="1" ht="18" customHeight="1">
      <c r="A193" s="4"/>
      <c r="I193" s="5"/>
      <c r="P193" s="6"/>
      <c r="Q193" s="6"/>
      <c r="S193" s="7"/>
      <c r="T193" s="8"/>
      <c r="U193" s="8"/>
      <c r="V193" s="8"/>
    </row>
    <row r="194" spans="1:22" s="3" customFormat="1" ht="18" customHeight="1">
      <c r="A194" s="4"/>
      <c r="I194" s="5"/>
      <c r="P194" s="6"/>
      <c r="Q194" s="6"/>
      <c r="S194" s="7"/>
      <c r="T194" s="8"/>
      <c r="U194" s="8"/>
      <c r="V194" s="8"/>
    </row>
    <row r="195" spans="1:22" s="3" customFormat="1" ht="18" customHeight="1">
      <c r="A195" s="4"/>
      <c r="I195" s="5"/>
      <c r="P195" s="6"/>
      <c r="Q195" s="6"/>
      <c r="S195" s="7"/>
      <c r="T195" s="8"/>
      <c r="U195" s="8"/>
      <c r="V195" s="8"/>
    </row>
    <row r="196" spans="1:22" s="3" customFormat="1" ht="18" customHeight="1">
      <c r="A196" s="4"/>
      <c r="I196" s="5"/>
      <c r="P196" s="6"/>
      <c r="Q196" s="6"/>
      <c r="S196" s="7"/>
      <c r="T196" s="8"/>
      <c r="U196" s="8"/>
      <c r="V196" s="8"/>
    </row>
  </sheetData>
  <autoFilter ref="A2:XFC145" xr:uid="{00000000-0009-0000-0000-000004000000}"/>
  <mergeCells count="57">
    <mergeCell ref="C1:E1"/>
    <mergeCell ref="B18:B19"/>
    <mergeCell ref="B20:B21"/>
    <mergeCell ref="B22:B23"/>
    <mergeCell ref="B24:B25"/>
    <mergeCell ref="B26:B27"/>
    <mergeCell ref="B28:B29"/>
    <mergeCell ref="B30:B31"/>
    <mergeCell ref="B32:B33"/>
    <mergeCell ref="B34:B35"/>
    <mergeCell ref="B36:B37"/>
    <mergeCell ref="B39:B40"/>
    <mergeCell ref="B41:B42"/>
    <mergeCell ref="B43:B45"/>
    <mergeCell ref="B46:B48"/>
    <mergeCell ref="B49:B51"/>
    <mergeCell ref="B53:B55"/>
    <mergeCell ref="B57:B59"/>
    <mergeCell ref="B64:B66"/>
    <mergeCell ref="B68:B70"/>
    <mergeCell ref="B73:B74"/>
    <mergeCell ref="B75:B78"/>
    <mergeCell ref="B79:B84"/>
    <mergeCell ref="B85:B89"/>
    <mergeCell ref="B90:B91"/>
    <mergeCell ref="B92:B93"/>
    <mergeCell ref="B94:B100"/>
    <mergeCell ref="B101:B105"/>
    <mergeCell ref="B115:B116"/>
    <mergeCell ref="O18:O19"/>
    <mergeCell ref="O20:O21"/>
    <mergeCell ref="O22:O23"/>
    <mergeCell ref="O24:O25"/>
    <mergeCell ref="O26:O27"/>
    <mergeCell ref="O28:O29"/>
    <mergeCell ref="O30:O31"/>
    <mergeCell ref="O32:O33"/>
    <mergeCell ref="O34:O35"/>
    <mergeCell ref="O36:O37"/>
    <mergeCell ref="O39:O40"/>
    <mergeCell ref="O41:O42"/>
    <mergeCell ref="O43:O45"/>
    <mergeCell ref="O46:O48"/>
    <mergeCell ref="O49:O51"/>
    <mergeCell ref="O53:O55"/>
    <mergeCell ref="O57:O59"/>
    <mergeCell ref="O64:O66"/>
    <mergeCell ref="O68:O70"/>
    <mergeCell ref="O73:O74"/>
    <mergeCell ref="O75:O78"/>
    <mergeCell ref="O79:O84"/>
    <mergeCell ref="O115:O116"/>
    <mergeCell ref="O85:O89"/>
    <mergeCell ref="O90:O91"/>
    <mergeCell ref="O92:O93"/>
    <mergeCell ref="O94:O100"/>
    <mergeCell ref="O101:O105"/>
  </mergeCells>
  <conditionalFormatting sqref="D46">
    <cfRule type="duplicateValues" dxfId="1" priority="1" stopIfTrue="1"/>
  </conditionalFormatting>
  <hyperlinks>
    <hyperlink ref="W19" r:id="rId1" xr:uid="{00000000-0004-0000-0400-000000000000}"/>
    <hyperlink ref="W21" r:id="rId2" xr:uid="{00000000-0004-0000-0400-000001000000}"/>
    <hyperlink ref="W23" r:id="rId3" xr:uid="{00000000-0004-0000-0400-000002000000}"/>
    <hyperlink ref="W25" r:id="rId4" xr:uid="{00000000-0004-0000-0400-000003000000}"/>
    <hyperlink ref="W27" r:id="rId5" xr:uid="{00000000-0004-0000-0400-000004000000}"/>
    <hyperlink ref="W29" r:id="rId6" xr:uid="{00000000-0004-0000-0400-000005000000}"/>
    <hyperlink ref="W31" r:id="rId7" xr:uid="{00000000-0004-0000-0400-000006000000}"/>
    <hyperlink ref="W33" r:id="rId8" xr:uid="{00000000-0004-0000-0400-000007000000}"/>
    <hyperlink ref="W35" r:id="rId9" xr:uid="{00000000-0004-0000-0400-000008000000}"/>
    <hyperlink ref="W37" r:id="rId10" xr:uid="{00000000-0004-0000-0400-000009000000}"/>
    <hyperlink ref="W127" r:id="rId11" xr:uid="{00000000-0004-0000-0400-00000A000000}"/>
    <hyperlink ref="W128" r:id="rId12" xr:uid="{00000000-0004-0000-0400-00000B000000}"/>
    <hyperlink ref="W129" r:id="rId13" xr:uid="{00000000-0004-0000-0400-00000C000000}"/>
    <hyperlink ref="W130" r:id="rId14" xr:uid="{00000000-0004-0000-0400-00000D000000}"/>
    <hyperlink ref="W131" r:id="rId15" xr:uid="{00000000-0004-0000-0400-00000E000000}"/>
    <hyperlink ref="W132" r:id="rId16" xr:uid="{00000000-0004-0000-0400-00000F000000}"/>
    <hyperlink ref="W133" r:id="rId17" xr:uid="{00000000-0004-0000-0400-000010000000}"/>
    <hyperlink ref="W134" r:id="rId18" xr:uid="{00000000-0004-0000-0400-000011000000}"/>
    <hyperlink ref="W135" r:id="rId19" xr:uid="{00000000-0004-0000-0400-000012000000}"/>
    <hyperlink ref="W3" r:id="rId20" xr:uid="{00000000-0004-0000-0400-000013000000}"/>
    <hyperlink ref="W106" r:id="rId21" xr:uid="{00000000-0004-0000-0400-000014000000}"/>
    <hyperlink ref="W18" r:id="rId22" xr:uid="{00000000-0004-0000-0400-000015000000}"/>
    <hyperlink ref="W38" r:id="rId23" xr:uid="{00000000-0004-0000-0400-000016000000}"/>
    <hyperlink ref="W47" r:id="rId24" xr:uid="{00000000-0004-0000-0400-000017000000}"/>
    <hyperlink ref="W71" r:id="rId25" xr:uid="{00000000-0004-0000-0400-000018000000}"/>
    <hyperlink ref="W136" r:id="rId26" xr:uid="{00000000-0004-0000-0400-000019000000}"/>
    <hyperlink ref="W124" r:id="rId27" xr:uid="{00000000-0004-0000-0400-00001A000000}"/>
    <hyperlink ref="W121" r:id="rId28" xr:uid="{00000000-0004-0000-0400-00001B000000}"/>
    <hyperlink ref="W116" r:id="rId29" xr:uid="{00000000-0004-0000-0400-00001C000000}"/>
    <hyperlink ref="W111" r:id="rId30" xr:uid="{00000000-0004-0000-0400-00001D000000}"/>
    <hyperlink ref="W115" r:id="rId31" xr:uid="{00000000-0004-0000-0400-00001E000000}"/>
    <hyperlink ref="W48" r:id="rId32" xr:uid="{00000000-0004-0000-0400-00001F000000}"/>
    <hyperlink ref="W52" r:id="rId33" xr:uid="{00000000-0004-0000-0400-000020000000}"/>
    <hyperlink ref="W56" r:id="rId34" display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xr:uid="{00000000-0004-0000-0400-000021000000}"/>
    <hyperlink ref="W40" r:id="rId35" xr:uid="{00000000-0004-0000-0400-000022000000}"/>
    <hyperlink ref="W55" r:id="rId36" xr:uid="{00000000-0004-0000-0400-000023000000}"/>
    <hyperlink ref="W65" r:id="rId37" xr:uid="{00000000-0004-0000-0400-000024000000}"/>
    <hyperlink ref="W100" r:id="rId38" xr:uid="{00000000-0004-0000-0400-000025000000}"/>
    <hyperlink ref="W96" r:id="rId39" xr:uid="{00000000-0004-0000-0400-000026000000}"/>
    <hyperlink ref="W92" r:id="rId40" xr:uid="{00000000-0004-0000-0400-000027000000}"/>
    <hyperlink ref="W78" r:id="rId41" xr:uid="{00000000-0004-0000-0400-000028000000}"/>
    <hyperlink ref="W79" r:id="rId42" xr:uid="{00000000-0004-0000-0400-000029000000}"/>
    <hyperlink ref="W76" r:id="rId43" xr:uid="{00000000-0004-0000-0400-00002A000000}"/>
    <hyperlink ref="W39" r:id="rId44" xr:uid="{00000000-0004-0000-0400-00002B000000}"/>
    <hyperlink ref="W41" r:id="rId45" xr:uid="{00000000-0004-0000-0400-00002C000000}"/>
    <hyperlink ref="W42" r:id="rId46" xr:uid="{00000000-0004-0000-0400-00002D000000}"/>
    <hyperlink ref="W43" r:id="rId47" xr:uid="{00000000-0004-0000-0400-00002E000000}"/>
    <hyperlink ref="W44" r:id="rId48" xr:uid="{00000000-0004-0000-0400-00002F000000}"/>
    <hyperlink ref="W45" r:id="rId49" xr:uid="{00000000-0004-0000-0400-000030000000}"/>
    <hyperlink ref="W46" r:id="rId50" xr:uid="{00000000-0004-0000-0400-000031000000}"/>
    <hyperlink ref="W49" r:id="rId51" xr:uid="{00000000-0004-0000-0400-000032000000}"/>
    <hyperlink ref="W51" r:id="rId52" xr:uid="{00000000-0004-0000-0400-000033000000}"/>
    <hyperlink ref="W53" r:id="rId53" xr:uid="{00000000-0004-0000-0400-000034000000}"/>
    <hyperlink ref="W54" r:id="rId54" xr:uid="{00000000-0004-0000-0400-000035000000}"/>
    <hyperlink ref="W57" r:id="rId55" xr:uid="{00000000-0004-0000-0400-000036000000}"/>
    <hyperlink ref="W59" r:id="rId56" xr:uid="{00000000-0004-0000-0400-000037000000}"/>
    <hyperlink ref="W64" r:id="rId57" xr:uid="{00000000-0004-0000-0400-000038000000}"/>
    <hyperlink ref="W66" r:id="rId58" xr:uid="{00000000-0004-0000-0400-000039000000}"/>
    <hyperlink ref="W69" r:id="rId59" xr:uid="{00000000-0004-0000-0400-00003A000000}"/>
    <hyperlink ref="W74" r:id="rId60" xr:uid="{00000000-0004-0000-0400-00003B000000}"/>
    <hyperlink ref="W80" r:id="rId61" xr:uid="{00000000-0004-0000-0400-00003C000000}"/>
    <hyperlink ref="W81" r:id="rId62" xr:uid="{00000000-0004-0000-0400-00003D000000}"/>
    <hyperlink ref="W82" r:id="rId63" xr:uid="{00000000-0004-0000-0400-00003E000000}"/>
    <hyperlink ref="W84" r:id="rId64" xr:uid="{00000000-0004-0000-0400-00003F000000}"/>
    <hyperlink ref="W85" r:id="rId65" xr:uid="{00000000-0004-0000-0400-000040000000}"/>
    <hyperlink ref="W86" r:id="rId66" xr:uid="{00000000-0004-0000-0400-000041000000}"/>
    <hyperlink ref="W87" r:id="rId67" xr:uid="{00000000-0004-0000-0400-000042000000}"/>
    <hyperlink ref="W88" r:id="rId68" xr:uid="{00000000-0004-0000-0400-000043000000}"/>
    <hyperlink ref="W89" r:id="rId69" xr:uid="{00000000-0004-0000-0400-000044000000}"/>
    <hyperlink ref="W90" r:id="rId70" display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xr:uid="{00000000-0004-0000-0400-000045000000}"/>
    <hyperlink ref="W91" r:id="rId71" xr:uid="{00000000-0004-0000-0400-000046000000}"/>
    <hyperlink ref="W93" r:id="rId72" xr:uid="{00000000-0004-0000-0400-000047000000}"/>
    <hyperlink ref="W95" r:id="rId73" xr:uid="{00000000-0004-0000-0400-000048000000}"/>
    <hyperlink ref="W97" r:id="rId74" xr:uid="{00000000-0004-0000-0400-000049000000}"/>
    <hyperlink ref="W98" r:id="rId75" xr:uid="{00000000-0004-0000-0400-00004A000000}"/>
    <hyperlink ref="W99" r:id="rId76" xr:uid="{00000000-0004-0000-0400-00004B000000}"/>
    <hyperlink ref="W104" r:id="rId77" xr:uid="{00000000-0004-0000-0400-00004C000000}"/>
    <hyperlink ref="W101" r:id="rId78" xr:uid="{00000000-0004-0000-0400-00004D000000}"/>
    <hyperlink ref="W102" r:id="rId79" xr:uid="{00000000-0004-0000-0400-00004E000000}"/>
  </hyperlinks>
  <pageMargins left="0.75" right="0.75" top="1" bottom="1" header="0.51180555555555596" footer="0.51180555555555596"/>
  <drawing r:id="rId8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XFC194"/>
  <sheetViews>
    <sheetView workbookViewId="0">
      <selection activeCell="L28" sqref="L28"/>
    </sheetView>
  </sheetViews>
  <sheetFormatPr defaultColWidth="11.28515625" defaultRowHeight="18" customHeight="1"/>
  <cols>
    <col min="1" max="1" width="4.7109375" style="4" customWidth="1"/>
    <col min="2" max="2" width="6.42578125" style="3" customWidth="1"/>
    <col min="3" max="3" width="6.140625" style="3" customWidth="1"/>
    <col min="4" max="4" width="22" style="3" customWidth="1"/>
    <col min="5" max="5" width="13.42578125" style="3" customWidth="1"/>
    <col min="6" max="8" width="4.42578125" style="3" customWidth="1"/>
    <col min="9" max="9" width="10.85546875" style="5" customWidth="1"/>
    <col min="10" max="10" width="9.42578125" style="3" customWidth="1"/>
    <col min="11" max="11" width="11.42578125" style="3" customWidth="1"/>
    <col min="12" max="14" width="18.85546875" style="3" customWidth="1"/>
    <col min="15" max="15" width="6.7109375" style="3" customWidth="1"/>
    <col min="16" max="16" width="8" style="6" customWidth="1"/>
    <col min="17" max="17" width="10.42578125" style="6" customWidth="1"/>
    <col min="18" max="18" width="13" style="3" customWidth="1"/>
    <col min="19" max="19" width="13" style="7" customWidth="1"/>
    <col min="20" max="22" width="13" style="8" customWidth="1"/>
    <col min="23" max="23" width="16.140625" style="9" customWidth="1"/>
    <col min="24" max="16383" width="11.28515625" style="3"/>
  </cols>
  <sheetData>
    <row r="1" spans="1:24" s="2" customFormat="1" ht="18" customHeight="1">
      <c r="A1" s="10"/>
      <c r="B1" s="11" t="s">
        <v>412</v>
      </c>
      <c r="C1" s="354" t="s">
        <v>413</v>
      </c>
      <c r="D1" s="355"/>
      <c r="E1" s="356"/>
      <c r="F1" s="10"/>
      <c r="G1" s="10"/>
      <c r="H1" s="10"/>
      <c r="I1" s="10"/>
      <c r="J1" s="10" t="s">
        <v>414</v>
      </c>
      <c r="K1" s="11"/>
      <c r="L1" s="11"/>
      <c r="M1" s="11"/>
      <c r="N1" s="11"/>
      <c r="O1" s="11" t="s">
        <v>415</v>
      </c>
      <c r="P1" s="31" t="s">
        <v>17</v>
      </c>
      <c r="Q1" s="31" t="s">
        <v>18</v>
      </c>
      <c r="R1" s="46"/>
      <c r="S1" s="47"/>
      <c r="T1" s="48"/>
      <c r="U1" s="48"/>
      <c r="V1" s="48"/>
      <c r="W1" s="46"/>
      <c r="X1" s="49" t="s">
        <v>416</v>
      </c>
    </row>
    <row r="2" spans="1:24" s="2" customFormat="1" ht="18" customHeight="1">
      <c r="A2" s="10"/>
      <c r="B2" s="12" t="s">
        <v>21</v>
      </c>
      <c r="C2" s="13" t="s">
        <v>417</v>
      </c>
      <c r="D2" s="14"/>
      <c r="E2" s="13" t="s">
        <v>418</v>
      </c>
      <c r="F2" s="13" t="s">
        <v>419</v>
      </c>
      <c r="G2" s="13" t="s">
        <v>420</v>
      </c>
      <c r="H2" s="13" t="s">
        <v>421</v>
      </c>
      <c r="I2" s="13" t="s">
        <v>422</v>
      </c>
      <c r="J2" s="10" t="s">
        <v>28</v>
      </c>
      <c r="K2" s="12"/>
      <c r="L2" s="12"/>
      <c r="M2" s="12"/>
      <c r="N2" s="12"/>
      <c r="O2" s="12" t="s">
        <v>31</v>
      </c>
      <c r="P2" s="32" t="s">
        <v>423</v>
      </c>
      <c r="Q2" s="32" t="s">
        <v>423</v>
      </c>
      <c r="R2" s="10"/>
      <c r="S2" s="50"/>
      <c r="T2" s="51"/>
      <c r="U2" s="51"/>
      <c r="V2" s="51"/>
      <c r="W2" s="52" t="s">
        <v>424</v>
      </c>
    </row>
    <row r="3" spans="1:24" s="3" customFormat="1" ht="18" customHeight="1">
      <c r="A3" s="15">
        <v>1</v>
      </c>
      <c r="B3" s="15" t="s">
        <v>425</v>
      </c>
      <c r="C3" s="16" t="s">
        <v>39</v>
      </c>
      <c r="D3" s="17" t="s">
        <v>426</v>
      </c>
      <c r="E3" s="18" t="s">
        <v>40</v>
      </c>
      <c r="F3" s="19" t="s">
        <v>41</v>
      </c>
      <c r="G3" s="20" t="s">
        <v>427</v>
      </c>
      <c r="H3" s="21" t="s">
        <v>41</v>
      </c>
      <c r="I3" s="20" t="s">
        <v>428</v>
      </c>
      <c r="J3" s="33">
        <v>32</v>
      </c>
      <c r="K3" s="34">
        <v>14.94</v>
      </c>
      <c r="L3" s="34">
        <v>4.8</v>
      </c>
      <c r="M3" s="35">
        <v>4.8</v>
      </c>
      <c r="N3" s="35">
        <v>4.8</v>
      </c>
      <c r="O3" s="36">
        <v>1</v>
      </c>
      <c r="P3" s="37">
        <v>0.55000000000000004</v>
      </c>
      <c r="Q3" s="53">
        <f t="shared" ref="Q3:Q66" si="0">P3*J3</f>
        <v>17.600000000000001</v>
      </c>
      <c r="R3" s="54">
        <v>6207999099</v>
      </c>
      <c r="S3" s="55">
        <v>0.12</v>
      </c>
      <c r="T3" s="16" t="s">
        <v>429</v>
      </c>
      <c r="U3" s="16">
        <v>17.989999999999998</v>
      </c>
      <c r="V3" s="16">
        <v>0.42</v>
      </c>
      <c r="W3" s="56" t="s">
        <v>44</v>
      </c>
    </row>
    <row r="4" spans="1:24" s="3" customFormat="1" ht="18" customHeight="1">
      <c r="A4" s="15">
        <v>2</v>
      </c>
      <c r="B4" s="15" t="s">
        <v>430</v>
      </c>
      <c r="C4" s="16" t="s">
        <v>39</v>
      </c>
      <c r="D4" s="17" t="s">
        <v>426</v>
      </c>
      <c r="E4" s="22" t="s">
        <v>40</v>
      </c>
      <c r="F4" s="19" t="s">
        <v>41</v>
      </c>
      <c r="G4" s="20" t="s">
        <v>427</v>
      </c>
      <c r="H4" s="21" t="s">
        <v>41</v>
      </c>
      <c r="I4" s="20" t="s">
        <v>428</v>
      </c>
      <c r="J4" s="33">
        <v>32</v>
      </c>
      <c r="K4" s="34">
        <v>14.94</v>
      </c>
      <c r="L4" s="34">
        <v>4.8</v>
      </c>
      <c r="M4" s="35">
        <v>4.8</v>
      </c>
      <c r="N4" s="35">
        <v>4.8</v>
      </c>
      <c r="O4" s="36">
        <v>1</v>
      </c>
      <c r="P4" s="37">
        <v>0.55000000000000004</v>
      </c>
      <c r="Q4" s="53">
        <f t="shared" si="0"/>
        <v>17.600000000000001</v>
      </c>
      <c r="R4" s="54">
        <v>6207999099</v>
      </c>
      <c r="S4" s="55">
        <v>0.12</v>
      </c>
      <c r="T4" s="16" t="s">
        <v>429</v>
      </c>
      <c r="U4" s="16">
        <v>17.989999999999998</v>
      </c>
      <c r="V4" s="16">
        <v>0.42</v>
      </c>
      <c r="W4" s="57" t="s">
        <v>44</v>
      </c>
    </row>
    <row r="5" spans="1:24" s="3" customFormat="1" ht="18" customHeight="1">
      <c r="A5" s="15">
        <v>3</v>
      </c>
      <c r="B5" s="15" t="s">
        <v>431</v>
      </c>
      <c r="C5" s="16" t="s">
        <v>39</v>
      </c>
      <c r="D5" s="17" t="s">
        <v>426</v>
      </c>
      <c r="E5" s="22" t="s">
        <v>40</v>
      </c>
      <c r="F5" s="19" t="s">
        <v>41</v>
      </c>
      <c r="G5" s="20" t="s">
        <v>427</v>
      </c>
      <c r="H5" s="21" t="s">
        <v>41</v>
      </c>
      <c r="I5" s="20" t="s">
        <v>428</v>
      </c>
      <c r="J5" s="33">
        <v>32</v>
      </c>
      <c r="K5" s="34">
        <v>14.94</v>
      </c>
      <c r="L5" s="34">
        <v>4.8</v>
      </c>
      <c r="M5" s="35">
        <v>4.8</v>
      </c>
      <c r="N5" s="35">
        <v>4.8</v>
      </c>
      <c r="O5" s="36">
        <v>1</v>
      </c>
      <c r="P5" s="37">
        <v>0.55000000000000004</v>
      </c>
      <c r="Q5" s="53">
        <f t="shared" si="0"/>
        <v>17.600000000000001</v>
      </c>
      <c r="R5" s="54">
        <v>6207999099</v>
      </c>
      <c r="S5" s="55">
        <v>0.12</v>
      </c>
      <c r="T5" s="16" t="s">
        <v>429</v>
      </c>
      <c r="U5" s="16">
        <v>17.989999999999998</v>
      </c>
      <c r="V5" s="16">
        <v>0.42</v>
      </c>
      <c r="W5" s="57" t="s">
        <v>44</v>
      </c>
    </row>
    <row r="6" spans="1:24" s="3" customFormat="1" ht="18" customHeight="1">
      <c r="A6" s="15">
        <v>4</v>
      </c>
      <c r="B6" s="15" t="s">
        <v>432</v>
      </c>
      <c r="C6" s="16" t="s">
        <v>39</v>
      </c>
      <c r="D6" s="17" t="s">
        <v>426</v>
      </c>
      <c r="E6" s="22" t="s">
        <v>40</v>
      </c>
      <c r="F6" s="19" t="s">
        <v>41</v>
      </c>
      <c r="G6" s="20" t="s">
        <v>427</v>
      </c>
      <c r="H6" s="21" t="s">
        <v>41</v>
      </c>
      <c r="I6" s="20" t="s">
        <v>428</v>
      </c>
      <c r="J6" s="33">
        <v>32</v>
      </c>
      <c r="K6" s="34">
        <v>14.94</v>
      </c>
      <c r="L6" s="34">
        <v>4.8</v>
      </c>
      <c r="M6" s="35">
        <v>4.8</v>
      </c>
      <c r="N6" s="35">
        <v>4.8</v>
      </c>
      <c r="O6" s="36">
        <v>1</v>
      </c>
      <c r="P6" s="37">
        <v>0.55000000000000004</v>
      </c>
      <c r="Q6" s="53">
        <f t="shared" si="0"/>
        <v>17.600000000000001</v>
      </c>
      <c r="R6" s="54">
        <v>6207999099</v>
      </c>
      <c r="S6" s="55">
        <v>0.12</v>
      </c>
      <c r="T6" s="16" t="s">
        <v>429</v>
      </c>
      <c r="U6" s="16">
        <v>17.989999999999998</v>
      </c>
      <c r="V6" s="16">
        <v>0.42</v>
      </c>
      <c r="W6" s="57" t="s">
        <v>44</v>
      </c>
    </row>
    <row r="7" spans="1:24" s="3" customFormat="1" ht="18" customHeight="1">
      <c r="A7" s="15">
        <v>5</v>
      </c>
      <c r="B7" s="15" t="s">
        <v>433</v>
      </c>
      <c r="C7" s="16" t="s">
        <v>39</v>
      </c>
      <c r="D7" s="17" t="s">
        <v>426</v>
      </c>
      <c r="E7" s="22" t="s">
        <v>40</v>
      </c>
      <c r="F7" s="19" t="s">
        <v>41</v>
      </c>
      <c r="G7" s="20" t="s">
        <v>427</v>
      </c>
      <c r="H7" s="21" t="s">
        <v>41</v>
      </c>
      <c r="I7" s="20" t="s">
        <v>428</v>
      </c>
      <c r="J7" s="33">
        <v>32</v>
      </c>
      <c r="K7" s="34">
        <v>14.94</v>
      </c>
      <c r="L7" s="34">
        <v>4.8</v>
      </c>
      <c r="M7" s="35">
        <v>4.8</v>
      </c>
      <c r="N7" s="35">
        <v>4.8</v>
      </c>
      <c r="O7" s="36">
        <v>1</v>
      </c>
      <c r="P7" s="37">
        <v>0.55000000000000004</v>
      </c>
      <c r="Q7" s="53">
        <f t="shared" si="0"/>
        <v>17.600000000000001</v>
      </c>
      <c r="R7" s="54">
        <v>6207999099</v>
      </c>
      <c r="S7" s="55">
        <v>0.12</v>
      </c>
      <c r="T7" s="16" t="s">
        <v>429</v>
      </c>
      <c r="U7" s="16">
        <v>17.989999999999998</v>
      </c>
      <c r="V7" s="16">
        <v>0.42</v>
      </c>
      <c r="W7" s="57" t="s">
        <v>44</v>
      </c>
    </row>
    <row r="8" spans="1:24" s="3" customFormat="1" ht="18" customHeight="1">
      <c r="A8" s="15">
        <v>6</v>
      </c>
      <c r="B8" s="15" t="s">
        <v>434</v>
      </c>
      <c r="C8" s="16" t="s">
        <v>39</v>
      </c>
      <c r="D8" s="17" t="s">
        <v>426</v>
      </c>
      <c r="E8" s="22" t="s">
        <v>40</v>
      </c>
      <c r="F8" s="19" t="s">
        <v>41</v>
      </c>
      <c r="G8" s="20" t="s">
        <v>427</v>
      </c>
      <c r="H8" s="21" t="s">
        <v>41</v>
      </c>
      <c r="I8" s="20" t="s">
        <v>428</v>
      </c>
      <c r="J8" s="33">
        <v>32</v>
      </c>
      <c r="K8" s="34">
        <v>14.94</v>
      </c>
      <c r="L8" s="34">
        <v>4.8</v>
      </c>
      <c r="M8" s="35">
        <v>4.8</v>
      </c>
      <c r="N8" s="35">
        <v>4.8</v>
      </c>
      <c r="O8" s="36">
        <v>1</v>
      </c>
      <c r="P8" s="37">
        <v>0.55000000000000004</v>
      </c>
      <c r="Q8" s="53">
        <f t="shared" si="0"/>
        <v>17.600000000000001</v>
      </c>
      <c r="R8" s="54">
        <v>6207999099</v>
      </c>
      <c r="S8" s="55">
        <v>0.12</v>
      </c>
      <c r="T8" s="16" t="s">
        <v>429</v>
      </c>
      <c r="U8" s="16">
        <v>17.989999999999998</v>
      </c>
      <c r="V8" s="16">
        <v>0.42</v>
      </c>
      <c r="W8" s="57" t="s">
        <v>44</v>
      </c>
    </row>
    <row r="9" spans="1:24" s="3" customFormat="1" ht="18" customHeight="1">
      <c r="A9" s="15">
        <v>7</v>
      </c>
      <c r="B9" s="15" t="s">
        <v>435</v>
      </c>
      <c r="C9" s="16" t="s">
        <v>39</v>
      </c>
      <c r="D9" s="17" t="s">
        <v>426</v>
      </c>
      <c r="E9" s="22" t="s">
        <v>40</v>
      </c>
      <c r="F9" s="19" t="s">
        <v>41</v>
      </c>
      <c r="G9" s="20" t="s">
        <v>427</v>
      </c>
      <c r="H9" s="21" t="s">
        <v>41</v>
      </c>
      <c r="I9" s="20" t="s">
        <v>428</v>
      </c>
      <c r="J9" s="33">
        <v>32</v>
      </c>
      <c r="K9" s="34">
        <v>14.94</v>
      </c>
      <c r="L9" s="34">
        <v>4.8</v>
      </c>
      <c r="M9" s="35">
        <v>4.8</v>
      </c>
      <c r="N9" s="35">
        <v>4.8</v>
      </c>
      <c r="O9" s="36">
        <v>1</v>
      </c>
      <c r="P9" s="37">
        <v>0.55000000000000004</v>
      </c>
      <c r="Q9" s="53">
        <f t="shared" si="0"/>
        <v>17.600000000000001</v>
      </c>
      <c r="R9" s="54">
        <v>6207999099</v>
      </c>
      <c r="S9" s="55">
        <v>0.12</v>
      </c>
      <c r="T9" s="16" t="s">
        <v>429</v>
      </c>
      <c r="U9" s="16">
        <v>17.989999999999998</v>
      </c>
      <c r="V9" s="16">
        <v>0.42</v>
      </c>
      <c r="W9" s="57" t="s">
        <v>44</v>
      </c>
    </row>
    <row r="10" spans="1:24" s="3" customFormat="1" ht="18" customHeight="1">
      <c r="A10" s="15">
        <v>8</v>
      </c>
      <c r="B10" s="15" t="s">
        <v>436</v>
      </c>
      <c r="C10" s="16" t="s">
        <v>39</v>
      </c>
      <c r="D10" s="17" t="s">
        <v>426</v>
      </c>
      <c r="E10" s="22" t="s">
        <v>40</v>
      </c>
      <c r="F10" s="19" t="s">
        <v>41</v>
      </c>
      <c r="G10" s="20" t="s">
        <v>427</v>
      </c>
      <c r="H10" s="21" t="s">
        <v>41</v>
      </c>
      <c r="I10" s="20" t="s">
        <v>428</v>
      </c>
      <c r="J10" s="33">
        <v>32</v>
      </c>
      <c r="K10" s="34">
        <v>14.94</v>
      </c>
      <c r="L10" s="34">
        <v>4.8</v>
      </c>
      <c r="M10" s="35">
        <v>4.8</v>
      </c>
      <c r="N10" s="35">
        <v>4.8</v>
      </c>
      <c r="O10" s="36">
        <v>1</v>
      </c>
      <c r="P10" s="37">
        <v>0.55000000000000004</v>
      </c>
      <c r="Q10" s="53">
        <f t="shared" si="0"/>
        <v>17.600000000000001</v>
      </c>
      <c r="R10" s="54">
        <v>6207999099</v>
      </c>
      <c r="S10" s="55">
        <v>0.12</v>
      </c>
      <c r="T10" s="16" t="s">
        <v>429</v>
      </c>
      <c r="U10" s="16">
        <v>17.989999999999998</v>
      </c>
      <c r="V10" s="16">
        <v>0.42</v>
      </c>
      <c r="W10" s="57" t="s">
        <v>44</v>
      </c>
    </row>
    <row r="11" spans="1:24" s="3" customFormat="1" ht="18" customHeight="1">
      <c r="A11" s="15">
        <v>9</v>
      </c>
      <c r="B11" s="15" t="s">
        <v>437</v>
      </c>
      <c r="C11" s="16" t="s">
        <v>39</v>
      </c>
      <c r="D11" s="17" t="s">
        <v>426</v>
      </c>
      <c r="E11" s="22" t="s">
        <v>40</v>
      </c>
      <c r="F11" s="19" t="s">
        <v>41</v>
      </c>
      <c r="G11" s="20" t="s">
        <v>427</v>
      </c>
      <c r="H11" s="21" t="s">
        <v>41</v>
      </c>
      <c r="I11" s="20" t="s">
        <v>428</v>
      </c>
      <c r="J11" s="33">
        <v>32</v>
      </c>
      <c r="K11" s="34">
        <v>14.94</v>
      </c>
      <c r="L11" s="34">
        <v>4.8</v>
      </c>
      <c r="M11" s="35">
        <v>4.8</v>
      </c>
      <c r="N11" s="35">
        <v>4.8</v>
      </c>
      <c r="O11" s="36">
        <v>1</v>
      </c>
      <c r="P11" s="37">
        <v>0.55000000000000004</v>
      </c>
      <c r="Q11" s="53">
        <f t="shared" si="0"/>
        <v>17.600000000000001</v>
      </c>
      <c r="R11" s="54">
        <v>6207999099</v>
      </c>
      <c r="S11" s="55">
        <v>0.12</v>
      </c>
      <c r="T11" s="16" t="s">
        <v>429</v>
      </c>
      <c r="U11" s="16">
        <v>17.989999999999998</v>
      </c>
      <c r="V11" s="16">
        <v>0.42</v>
      </c>
      <c r="W11" s="57" t="s">
        <v>44</v>
      </c>
    </row>
    <row r="12" spans="1:24" s="3" customFormat="1" ht="18" customHeight="1">
      <c r="A12" s="15">
        <v>10</v>
      </c>
      <c r="B12" s="15" t="s">
        <v>438</v>
      </c>
      <c r="C12" s="16" t="s">
        <v>39</v>
      </c>
      <c r="D12" s="17" t="s">
        <v>426</v>
      </c>
      <c r="E12" s="22" t="s">
        <v>40</v>
      </c>
      <c r="F12" s="19" t="s">
        <v>41</v>
      </c>
      <c r="G12" s="20" t="s">
        <v>427</v>
      </c>
      <c r="H12" s="21" t="s">
        <v>41</v>
      </c>
      <c r="I12" s="20" t="s">
        <v>428</v>
      </c>
      <c r="J12" s="33">
        <v>32</v>
      </c>
      <c r="K12" s="34">
        <v>14.94</v>
      </c>
      <c r="L12" s="34">
        <v>4.8</v>
      </c>
      <c r="M12" s="35">
        <v>4.8</v>
      </c>
      <c r="N12" s="35">
        <v>4.8</v>
      </c>
      <c r="O12" s="36">
        <v>1</v>
      </c>
      <c r="P12" s="37">
        <v>0.55000000000000004</v>
      </c>
      <c r="Q12" s="53">
        <f t="shared" si="0"/>
        <v>17.600000000000001</v>
      </c>
      <c r="R12" s="54">
        <v>6207999099</v>
      </c>
      <c r="S12" s="55">
        <v>0.12</v>
      </c>
      <c r="T12" s="16" t="s">
        <v>429</v>
      </c>
      <c r="U12" s="16">
        <v>17.989999999999998</v>
      </c>
      <c r="V12" s="16">
        <v>0.42</v>
      </c>
      <c r="W12" s="57" t="s">
        <v>44</v>
      </c>
    </row>
    <row r="13" spans="1:24" s="3" customFormat="1" ht="18" customHeight="1">
      <c r="A13" s="15">
        <v>11</v>
      </c>
      <c r="B13" s="15" t="s">
        <v>439</v>
      </c>
      <c r="C13" s="16" t="s">
        <v>39</v>
      </c>
      <c r="D13" s="17" t="s">
        <v>426</v>
      </c>
      <c r="E13" s="22" t="s">
        <v>40</v>
      </c>
      <c r="F13" s="19" t="s">
        <v>41</v>
      </c>
      <c r="G13" s="20" t="s">
        <v>427</v>
      </c>
      <c r="H13" s="21" t="s">
        <v>41</v>
      </c>
      <c r="I13" s="38" t="s">
        <v>428</v>
      </c>
      <c r="J13" s="33">
        <v>32</v>
      </c>
      <c r="K13" s="34">
        <v>14.94</v>
      </c>
      <c r="L13" s="34">
        <v>4.8</v>
      </c>
      <c r="M13" s="39">
        <v>4.8</v>
      </c>
      <c r="N13" s="39">
        <v>4.8</v>
      </c>
      <c r="O13" s="15">
        <v>1</v>
      </c>
      <c r="P13" s="37">
        <v>0.55000000000000004</v>
      </c>
      <c r="Q13" s="37">
        <f t="shared" si="0"/>
        <v>17.600000000000001</v>
      </c>
      <c r="R13" s="58">
        <v>6207999099</v>
      </c>
      <c r="S13" s="55">
        <v>0.12</v>
      </c>
      <c r="T13" s="16" t="s">
        <v>429</v>
      </c>
      <c r="U13" s="16">
        <v>17.989999999999998</v>
      </c>
      <c r="V13" s="16">
        <v>0.42</v>
      </c>
      <c r="W13" s="57" t="s">
        <v>44</v>
      </c>
    </row>
    <row r="14" spans="1:24" s="3" customFormat="1" ht="18" customHeight="1">
      <c r="A14" s="15">
        <v>12</v>
      </c>
      <c r="B14" s="15" t="s">
        <v>440</v>
      </c>
      <c r="C14" s="16" t="s">
        <v>39</v>
      </c>
      <c r="D14" s="17" t="s">
        <v>426</v>
      </c>
      <c r="E14" s="22" t="s">
        <v>40</v>
      </c>
      <c r="F14" s="19" t="s">
        <v>41</v>
      </c>
      <c r="G14" s="20" t="s">
        <v>427</v>
      </c>
      <c r="H14" s="21" t="s">
        <v>41</v>
      </c>
      <c r="I14" s="38" t="s">
        <v>428</v>
      </c>
      <c r="J14" s="33">
        <v>32</v>
      </c>
      <c r="K14" s="34">
        <v>14.94</v>
      </c>
      <c r="L14" s="34">
        <v>4.8</v>
      </c>
      <c r="M14" s="39">
        <v>4.8</v>
      </c>
      <c r="N14" s="39">
        <v>4.8</v>
      </c>
      <c r="O14" s="15">
        <v>1</v>
      </c>
      <c r="P14" s="37">
        <v>0.55000000000000004</v>
      </c>
      <c r="Q14" s="37">
        <f t="shared" si="0"/>
        <v>17.600000000000001</v>
      </c>
      <c r="R14" s="58">
        <v>6207999099</v>
      </c>
      <c r="S14" s="55">
        <v>0.12</v>
      </c>
      <c r="T14" s="16" t="s">
        <v>429</v>
      </c>
      <c r="U14" s="16">
        <v>17.989999999999998</v>
      </c>
      <c r="V14" s="16">
        <v>0.42</v>
      </c>
      <c r="W14" s="57" t="s">
        <v>44</v>
      </c>
    </row>
    <row r="15" spans="1:24" s="3" customFormat="1" ht="18" customHeight="1">
      <c r="A15" s="15">
        <v>13</v>
      </c>
      <c r="B15" s="15" t="s">
        <v>441</v>
      </c>
      <c r="C15" s="16" t="s">
        <v>39</v>
      </c>
      <c r="D15" s="17" t="s">
        <v>426</v>
      </c>
      <c r="E15" s="22" t="s">
        <v>40</v>
      </c>
      <c r="F15" s="19" t="s">
        <v>41</v>
      </c>
      <c r="G15" s="20" t="s">
        <v>427</v>
      </c>
      <c r="H15" s="21" t="s">
        <v>41</v>
      </c>
      <c r="I15" s="38" t="s">
        <v>428</v>
      </c>
      <c r="J15" s="33">
        <v>32</v>
      </c>
      <c r="K15" s="34">
        <v>14.94</v>
      </c>
      <c r="L15" s="34">
        <v>4.8</v>
      </c>
      <c r="M15" s="39">
        <v>4.8</v>
      </c>
      <c r="N15" s="39">
        <v>4.8</v>
      </c>
      <c r="O15" s="15">
        <v>1</v>
      </c>
      <c r="P15" s="37">
        <v>0.55000000000000004</v>
      </c>
      <c r="Q15" s="37">
        <f t="shared" si="0"/>
        <v>17.600000000000001</v>
      </c>
      <c r="R15" s="58">
        <v>6207999099</v>
      </c>
      <c r="S15" s="55">
        <v>0.12</v>
      </c>
      <c r="T15" s="16" t="s">
        <v>429</v>
      </c>
      <c r="U15" s="16">
        <v>17.989999999999998</v>
      </c>
      <c r="V15" s="16">
        <v>0.42</v>
      </c>
      <c r="W15" s="57" t="s">
        <v>44</v>
      </c>
    </row>
    <row r="16" spans="1:24" s="3" customFormat="1" ht="18" customHeight="1">
      <c r="A16" s="15">
        <v>14</v>
      </c>
      <c r="B16" s="15" t="s">
        <v>442</v>
      </c>
      <c r="C16" s="16" t="s">
        <v>39</v>
      </c>
      <c r="D16" s="17" t="s">
        <v>426</v>
      </c>
      <c r="E16" s="22" t="s">
        <v>40</v>
      </c>
      <c r="F16" s="19" t="s">
        <v>41</v>
      </c>
      <c r="G16" s="20" t="s">
        <v>427</v>
      </c>
      <c r="H16" s="21" t="s">
        <v>41</v>
      </c>
      <c r="I16" s="38" t="s">
        <v>428</v>
      </c>
      <c r="J16" s="33">
        <v>32</v>
      </c>
      <c r="K16" s="34">
        <v>14.94</v>
      </c>
      <c r="L16" s="34">
        <v>4.8</v>
      </c>
      <c r="M16" s="39">
        <v>4.8</v>
      </c>
      <c r="N16" s="39">
        <v>4.8</v>
      </c>
      <c r="O16" s="15">
        <v>1</v>
      </c>
      <c r="P16" s="37">
        <v>0.55000000000000004</v>
      </c>
      <c r="Q16" s="37">
        <f t="shared" si="0"/>
        <v>17.600000000000001</v>
      </c>
      <c r="R16" s="58">
        <v>6207999099</v>
      </c>
      <c r="S16" s="55">
        <v>0.12</v>
      </c>
      <c r="T16" s="16" t="s">
        <v>429</v>
      </c>
      <c r="U16" s="16">
        <v>17.989999999999998</v>
      </c>
      <c r="V16" s="16">
        <v>0.42</v>
      </c>
      <c r="W16" s="57" t="s">
        <v>44</v>
      </c>
    </row>
    <row r="17" spans="1:23" s="3" customFormat="1" ht="18.95" customHeight="1">
      <c r="A17" s="15">
        <v>15</v>
      </c>
      <c r="B17" s="15" t="s">
        <v>443</v>
      </c>
      <c r="C17" s="16" t="s">
        <v>39</v>
      </c>
      <c r="D17" s="17" t="s">
        <v>426</v>
      </c>
      <c r="E17" s="22" t="s">
        <v>40</v>
      </c>
      <c r="F17" s="19" t="s">
        <v>41</v>
      </c>
      <c r="G17" s="20" t="s">
        <v>427</v>
      </c>
      <c r="H17" s="21" t="s">
        <v>41</v>
      </c>
      <c r="I17" s="38" t="s">
        <v>428</v>
      </c>
      <c r="J17" s="33">
        <v>32</v>
      </c>
      <c r="K17" s="34">
        <v>14.94</v>
      </c>
      <c r="L17" s="34">
        <v>4.8</v>
      </c>
      <c r="M17" s="39">
        <v>4.8</v>
      </c>
      <c r="N17" s="39">
        <v>4.8</v>
      </c>
      <c r="O17" s="15">
        <v>1</v>
      </c>
      <c r="P17" s="37">
        <v>0.55000000000000004</v>
      </c>
      <c r="Q17" s="37">
        <f t="shared" si="0"/>
        <v>17.600000000000001</v>
      </c>
      <c r="R17" s="58">
        <v>6207999099</v>
      </c>
      <c r="S17" s="55">
        <v>0.12</v>
      </c>
      <c r="T17" s="16" t="s">
        <v>429</v>
      </c>
      <c r="U17" s="16">
        <v>17.989999999999998</v>
      </c>
      <c r="V17" s="16">
        <v>0.42</v>
      </c>
      <c r="W17" s="57" t="s">
        <v>44</v>
      </c>
    </row>
    <row r="18" spans="1:23" s="3" customFormat="1" ht="18" customHeight="1">
      <c r="A18" s="15">
        <v>16</v>
      </c>
      <c r="B18" s="373" t="s">
        <v>444</v>
      </c>
      <c r="C18" s="24" t="s">
        <v>60</v>
      </c>
      <c r="D18" s="16" t="s">
        <v>445</v>
      </c>
      <c r="E18" s="22" t="s">
        <v>61</v>
      </c>
      <c r="F18" s="19" t="s">
        <v>41</v>
      </c>
      <c r="G18" s="20" t="s">
        <v>446</v>
      </c>
      <c r="H18" s="19" t="s">
        <v>41</v>
      </c>
      <c r="I18" s="38" t="s">
        <v>447</v>
      </c>
      <c r="J18" s="16">
        <v>48</v>
      </c>
      <c r="K18" s="39">
        <v>17.82</v>
      </c>
      <c r="L18" s="39">
        <v>17.82</v>
      </c>
      <c r="M18" s="39">
        <v>17.82</v>
      </c>
      <c r="N18" s="39">
        <v>17.82</v>
      </c>
      <c r="O18" s="344">
        <v>1</v>
      </c>
      <c r="P18" s="37">
        <v>0.33</v>
      </c>
      <c r="Q18" s="37">
        <f t="shared" si="0"/>
        <v>15.84</v>
      </c>
      <c r="R18" s="58">
        <v>8424200000</v>
      </c>
      <c r="S18" s="55">
        <v>1.7000000000000001E-2</v>
      </c>
      <c r="T18" s="16" t="s">
        <v>448</v>
      </c>
      <c r="U18" s="16">
        <v>9.99</v>
      </c>
      <c r="V18" s="16">
        <v>0.34</v>
      </c>
      <c r="W18" s="59" t="s">
        <v>64</v>
      </c>
    </row>
    <row r="19" spans="1:23" s="3" customFormat="1" ht="18" customHeight="1">
      <c r="A19" s="15">
        <v>17</v>
      </c>
      <c r="B19" s="373"/>
      <c r="C19" s="24" t="s">
        <v>65</v>
      </c>
      <c r="D19" s="16" t="s">
        <v>449</v>
      </c>
      <c r="E19" s="22" t="s">
        <v>66</v>
      </c>
      <c r="F19" s="19" t="s">
        <v>41</v>
      </c>
      <c r="G19" s="20" t="s">
        <v>450</v>
      </c>
      <c r="H19" s="19" t="s">
        <v>41</v>
      </c>
      <c r="I19" s="41" t="s">
        <v>451</v>
      </c>
      <c r="J19" s="16">
        <v>30</v>
      </c>
      <c r="K19" s="39">
        <v>3.3</v>
      </c>
      <c r="L19" s="39">
        <v>3.3</v>
      </c>
      <c r="M19" s="39">
        <v>3.3</v>
      </c>
      <c r="N19" s="39">
        <v>3.3</v>
      </c>
      <c r="O19" s="345"/>
      <c r="P19" s="37">
        <v>0.22</v>
      </c>
      <c r="Q19" s="37">
        <f t="shared" si="0"/>
        <v>6.6</v>
      </c>
      <c r="R19" s="58">
        <v>3923109090</v>
      </c>
      <c r="S19" s="55">
        <v>6.5000000000000002E-2</v>
      </c>
      <c r="T19" s="16" t="s">
        <v>452</v>
      </c>
      <c r="U19" s="16">
        <v>6.45</v>
      </c>
      <c r="V19" s="16">
        <v>0.06</v>
      </c>
      <c r="W19" s="60" t="s">
        <v>69</v>
      </c>
    </row>
    <row r="20" spans="1:23" s="3" customFormat="1" ht="18" customHeight="1">
      <c r="A20" s="15">
        <v>18</v>
      </c>
      <c r="B20" s="373" t="s">
        <v>453</v>
      </c>
      <c r="C20" s="24" t="s">
        <v>60</v>
      </c>
      <c r="D20" s="16" t="s">
        <v>445</v>
      </c>
      <c r="E20" s="22" t="s">
        <v>61</v>
      </c>
      <c r="F20" s="19" t="s">
        <v>41</v>
      </c>
      <c r="G20" s="20" t="s">
        <v>446</v>
      </c>
      <c r="H20" s="19" t="s">
        <v>41</v>
      </c>
      <c r="I20" s="38" t="s">
        <v>447</v>
      </c>
      <c r="J20" s="16">
        <v>48</v>
      </c>
      <c r="K20" s="39">
        <v>17.82</v>
      </c>
      <c r="L20" s="39">
        <v>17.82</v>
      </c>
      <c r="M20" s="39">
        <v>17.82</v>
      </c>
      <c r="N20" s="39">
        <v>17.82</v>
      </c>
      <c r="O20" s="344">
        <v>1</v>
      </c>
      <c r="P20" s="37">
        <v>0.33</v>
      </c>
      <c r="Q20" s="37">
        <f t="shared" si="0"/>
        <v>15.84</v>
      </c>
      <c r="R20" s="58">
        <v>8424200000</v>
      </c>
      <c r="S20" s="55">
        <v>1.7000000000000001E-2</v>
      </c>
      <c r="T20" s="16" t="s">
        <v>448</v>
      </c>
      <c r="U20" s="16">
        <v>9.99</v>
      </c>
      <c r="V20" s="16">
        <v>0.34</v>
      </c>
      <c r="W20" s="60" t="s">
        <v>64</v>
      </c>
    </row>
    <row r="21" spans="1:23" s="3" customFormat="1" ht="18" customHeight="1">
      <c r="A21" s="15">
        <v>19</v>
      </c>
      <c r="B21" s="373"/>
      <c r="C21" s="24" t="s">
        <v>65</v>
      </c>
      <c r="D21" s="16" t="s">
        <v>449</v>
      </c>
      <c r="E21" s="22" t="s">
        <v>66</v>
      </c>
      <c r="F21" s="19" t="s">
        <v>41</v>
      </c>
      <c r="G21" s="20" t="s">
        <v>450</v>
      </c>
      <c r="H21" s="19" t="s">
        <v>41</v>
      </c>
      <c r="I21" s="41" t="s">
        <v>451</v>
      </c>
      <c r="J21" s="16">
        <v>30</v>
      </c>
      <c r="K21" s="39">
        <v>3.3</v>
      </c>
      <c r="L21" s="39">
        <v>3.3</v>
      </c>
      <c r="M21" s="39">
        <v>3.3</v>
      </c>
      <c r="N21" s="39">
        <v>3.3</v>
      </c>
      <c r="O21" s="345"/>
      <c r="P21" s="37">
        <v>0.22</v>
      </c>
      <c r="Q21" s="37">
        <f t="shared" si="0"/>
        <v>6.6</v>
      </c>
      <c r="R21" s="58">
        <v>3923109090</v>
      </c>
      <c r="S21" s="55">
        <v>6.5000000000000002E-2</v>
      </c>
      <c r="T21" s="16" t="s">
        <v>452</v>
      </c>
      <c r="U21" s="16">
        <v>6.45</v>
      </c>
      <c r="V21" s="16">
        <v>0.06</v>
      </c>
      <c r="W21" s="60" t="s">
        <v>69</v>
      </c>
    </row>
    <row r="22" spans="1:23" s="3" customFormat="1" ht="18" customHeight="1">
      <c r="A22" s="15">
        <v>20</v>
      </c>
      <c r="B22" s="373" t="s">
        <v>454</v>
      </c>
      <c r="C22" s="24" t="s">
        <v>60</v>
      </c>
      <c r="D22" s="16" t="s">
        <v>445</v>
      </c>
      <c r="E22" s="22" t="s">
        <v>61</v>
      </c>
      <c r="F22" s="19" t="s">
        <v>41</v>
      </c>
      <c r="G22" s="20" t="s">
        <v>446</v>
      </c>
      <c r="H22" s="19" t="s">
        <v>41</v>
      </c>
      <c r="I22" s="38" t="s">
        <v>447</v>
      </c>
      <c r="J22" s="16">
        <v>48</v>
      </c>
      <c r="K22" s="39">
        <v>17.82</v>
      </c>
      <c r="L22" s="39">
        <v>17.82</v>
      </c>
      <c r="M22" s="39">
        <v>17.82</v>
      </c>
      <c r="N22" s="39">
        <v>17.82</v>
      </c>
      <c r="O22" s="344">
        <v>1</v>
      </c>
      <c r="P22" s="37">
        <v>0.33</v>
      </c>
      <c r="Q22" s="37">
        <f t="shared" si="0"/>
        <v>15.84</v>
      </c>
      <c r="R22" s="58">
        <v>8424200000</v>
      </c>
      <c r="S22" s="55">
        <v>1.7000000000000001E-2</v>
      </c>
      <c r="T22" s="16" t="s">
        <v>448</v>
      </c>
      <c r="U22" s="16">
        <v>9.99</v>
      </c>
      <c r="V22" s="16">
        <v>0.34</v>
      </c>
      <c r="W22" s="60" t="s">
        <v>64</v>
      </c>
    </row>
    <row r="23" spans="1:23" s="3" customFormat="1" ht="18" customHeight="1">
      <c r="A23" s="15">
        <v>21</v>
      </c>
      <c r="B23" s="373"/>
      <c r="C23" s="24" t="s">
        <v>65</v>
      </c>
      <c r="D23" s="16" t="s">
        <v>449</v>
      </c>
      <c r="E23" s="22" t="s">
        <v>66</v>
      </c>
      <c r="F23" s="19" t="s">
        <v>41</v>
      </c>
      <c r="G23" s="20" t="s">
        <v>450</v>
      </c>
      <c r="H23" s="19" t="s">
        <v>41</v>
      </c>
      <c r="I23" s="41" t="s">
        <v>451</v>
      </c>
      <c r="J23" s="16">
        <v>30</v>
      </c>
      <c r="K23" s="39">
        <v>3.3</v>
      </c>
      <c r="L23" s="39">
        <v>3.3</v>
      </c>
      <c r="M23" s="39">
        <v>3.3</v>
      </c>
      <c r="N23" s="39">
        <v>3.3</v>
      </c>
      <c r="O23" s="345"/>
      <c r="P23" s="37">
        <v>0.22</v>
      </c>
      <c r="Q23" s="37">
        <f t="shared" si="0"/>
        <v>6.6</v>
      </c>
      <c r="R23" s="58">
        <v>3923109090</v>
      </c>
      <c r="S23" s="55">
        <v>6.5000000000000002E-2</v>
      </c>
      <c r="T23" s="16" t="s">
        <v>452</v>
      </c>
      <c r="U23" s="16">
        <v>6.45</v>
      </c>
      <c r="V23" s="16">
        <v>0.06</v>
      </c>
      <c r="W23" s="60" t="s">
        <v>69</v>
      </c>
    </row>
    <row r="24" spans="1:23" s="3" customFormat="1" ht="18" customHeight="1">
      <c r="A24" s="15">
        <v>22</v>
      </c>
      <c r="B24" s="373" t="s">
        <v>455</v>
      </c>
      <c r="C24" s="24" t="s">
        <v>60</v>
      </c>
      <c r="D24" s="16" t="s">
        <v>445</v>
      </c>
      <c r="E24" s="22" t="s">
        <v>61</v>
      </c>
      <c r="F24" s="19" t="s">
        <v>41</v>
      </c>
      <c r="G24" s="20" t="s">
        <v>446</v>
      </c>
      <c r="H24" s="19" t="s">
        <v>41</v>
      </c>
      <c r="I24" s="38" t="s">
        <v>447</v>
      </c>
      <c r="J24" s="16">
        <v>48</v>
      </c>
      <c r="K24" s="39">
        <v>17.82</v>
      </c>
      <c r="L24" s="39">
        <v>17.82</v>
      </c>
      <c r="M24" s="39">
        <v>17.82</v>
      </c>
      <c r="N24" s="39">
        <v>17.82</v>
      </c>
      <c r="O24" s="344">
        <v>1</v>
      </c>
      <c r="P24" s="37">
        <v>0.33</v>
      </c>
      <c r="Q24" s="37">
        <f t="shared" si="0"/>
        <v>15.84</v>
      </c>
      <c r="R24" s="58">
        <v>8424200000</v>
      </c>
      <c r="S24" s="55">
        <v>1.7000000000000001E-2</v>
      </c>
      <c r="T24" s="16" t="s">
        <v>448</v>
      </c>
      <c r="U24" s="16">
        <v>9.99</v>
      </c>
      <c r="V24" s="16">
        <v>0.34</v>
      </c>
      <c r="W24" s="60" t="s">
        <v>64</v>
      </c>
    </row>
    <row r="25" spans="1:23" s="3" customFormat="1" ht="18" customHeight="1">
      <c r="A25" s="15">
        <v>23</v>
      </c>
      <c r="B25" s="373"/>
      <c r="C25" s="24" t="s">
        <v>65</v>
      </c>
      <c r="D25" s="16" t="s">
        <v>449</v>
      </c>
      <c r="E25" s="22" t="s">
        <v>66</v>
      </c>
      <c r="F25" s="19" t="s">
        <v>41</v>
      </c>
      <c r="G25" s="20" t="s">
        <v>450</v>
      </c>
      <c r="H25" s="19" t="s">
        <v>41</v>
      </c>
      <c r="I25" s="41" t="s">
        <v>451</v>
      </c>
      <c r="J25" s="16">
        <v>30</v>
      </c>
      <c r="K25" s="39">
        <v>3.3</v>
      </c>
      <c r="L25" s="39">
        <v>3.3</v>
      </c>
      <c r="M25" s="39">
        <v>3.3</v>
      </c>
      <c r="N25" s="39">
        <v>3.3</v>
      </c>
      <c r="O25" s="345"/>
      <c r="P25" s="37">
        <v>0.22</v>
      </c>
      <c r="Q25" s="37">
        <f t="shared" si="0"/>
        <v>6.6</v>
      </c>
      <c r="R25" s="58">
        <v>3923109090</v>
      </c>
      <c r="S25" s="55">
        <v>6.5000000000000002E-2</v>
      </c>
      <c r="T25" s="16" t="s">
        <v>452</v>
      </c>
      <c r="U25" s="16">
        <v>6.45</v>
      </c>
      <c r="V25" s="16">
        <v>0.06</v>
      </c>
      <c r="W25" s="60" t="s">
        <v>69</v>
      </c>
    </row>
    <row r="26" spans="1:23" s="3" customFormat="1" ht="18" customHeight="1">
      <c r="A26" s="15">
        <v>24</v>
      </c>
      <c r="B26" s="373" t="s">
        <v>456</v>
      </c>
      <c r="C26" s="24" t="s">
        <v>60</v>
      </c>
      <c r="D26" s="16" t="s">
        <v>445</v>
      </c>
      <c r="E26" s="22" t="s">
        <v>61</v>
      </c>
      <c r="F26" s="19" t="s">
        <v>41</v>
      </c>
      <c r="G26" s="20" t="s">
        <v>446</v>
      </c>
      <c r="H26" s="19" t="s">
        <v>41</v>
      </c>
      <c r="I26" s="38" t="s">
        <v>447</v>
      </c>
      <c r="J26" s="16">
        <v>48</v>
      </c>
      <c r="K26" s="39">
        <v>17.82</v>
      </c>
      <c r="L26" s="39">
        <v>17.82</v>
      </c>
      <c r="M26" s="39">
        <v>17.82</v>
      </c>
      <c r="N26" s="39">
        <v>17.82</v>
      </c>
      <c r="O26" s="344">
        <v>1</v>
      </c>
      <c r="P26" s="37">
        <v>0.33</v>
      </c>
      <c r="Q26" s="37">
        <f t="shared" si="0"/>
        <v>15.84</v>
      </c>
      <c r="R26" s="58">
        <v>8424200000</v>
      </c>
      <c r="S26" s="55">
        <v>1.7000000000000001E-2</v>
      </c>
      <c r="T26" s="16" t="s">
        <v>448</v>
      </c>
      <c r="U26" s="16">
        <v>9.99</v>
      </c>
      <c r="V26" s="16">
        <v>0.34</v>
      </c>
      <c r="W26" s="60" t="s">
        <v>64</v>
      </c>
    </row>
    <row r="27" spans="1:23" s="3" customFormat="1" ht="18" customHeight="1">
      <c r="A27" s="15">
        <v>25</v>
      </c>
      <c r="B27" s="373"/>
      <c r="C27" s="24" t="s">
        <v>65</v>
      </c>
      <c r="D27" s="16" t="s">
        <v>449</v>
      </c>
      <c r="E27" s="22" t="s">
        <v>66</v>
      </c>
      <c r="F27" s="19" t="s">
        <v>41</v>
      </c>
      <c r="G27" s="20" t="s">
        <v>450</v>
      </c>
      <c r="H27" s="19" t="s">
        <v>41</v>
      </c>
      <c r="I27" s="41" t="s">
        <v>451</v>
      </c>
      <c r="J27" s="16">
        <v>30</v>
      </c>
      <c r="K27" s="39">
        <v>3.3</v>
      </c>
      <c r="L27" s="39">
        <v>3.3</v>
      </c>
      <c r="M27" s="39">
        <v>3.3</v>
      </c>
      <c r="N27" s="39">
        <v>3.3</v>
      </c>
      <c r="O27" s="345"/>
      <c r="P27" s="37">
        <v>0.22</v>
      </c>
      <c r="Q27" s="37">
        <f t="shared" si="0"/>
        <v>6.6</v>
      </c>
      <c r="R27" s="58">
        <v>3923109090</v>
      </c>
      <c r="S27" s="55">
        <v>6.5000000000000002E-2</v>
      </c>
      <c r="T27" s="16" t="s">
        <v>452</v>
      </c>
      <c r="U27" s="16">
        <v>6.45</v>
      </c>
      <c r="V27" s="16">
        <v>0.06</v>
      </c>
      <c r="W27" s="60" t="s">
        <v>69</v>
      </c>
    </row>
    <row r="28" spans="1:23" s="3" customFormat="1" ht="18" customHeight="1">
      <c r="A28" s="15">
        <v>26</v>
      </c>
      <c r="B28" s="373" t="s">
        <v>457</v>
      </c>
      <c r="C28" s="24" t="s">
        <v>60</v>
      </c>
      <c r="D28" s="16" t="s">
        <v>445</v>
      </c>
      <c r="E28" s="22" t="s">
        <v>61</v>
      </c>
      <c r="F28" s="19" t="s">
        <v>41</v>
      </c>
      <c r="G28" s="20" t="s">
        <v>446</v>
      </c>
      <c r="H28" s="19" t="s">
        <v>41</v>
      </c>
      <c r="I28" s="38" t="s">
        <v>447</v>
      </c>
      <c r="J28" s="16">
        <v>48</v>
      </c>
      <c r="K28" s="39">
        <v>17.82</v>
      </c>
      <c r="L28" s="39">
        <v>17.82</v>
      </c>
      <c r="M28" s="39">
        <v>17.82</v>
      </c>
      <c r="N28" s="39">
        <v>17.82</v>
      </c>
      <c r="O28" s="344">
        <v>1</v>
      </c>
      <c r="P28" s="37">
        <v>0.33</v>
      </c>
      <c r="Q28" s="37">
        <f t="shared" si="0"/>
        <v>15.84</v>
      </c>
      <c r="R28" s="58">
        <v>8424200000</v>
      </c>
      <c r="S28" s="55">
        <v>1.7000000000000001E-2</v>
      </c>
      <c r="T28" s="16" t="s">
        <v>448</v>
      </c>
      <c r="U28" s="16">
        <v>9.99</v>
      </c>
      <c r="V28" s="16">
        <v>0.34</v>
      </c>
      <c r="W28" s="60" t="s">
        <v>64</v>
      </c>
    </row>
    <row r="29" spans="1:23" s="3" customFormat="1" ht="18" customHeight="1">
      <c r="A29" s="15">
        <v>27</v>
      </c>
      <c r="B29" s="373"/>
      <c r="C29" s="24" t="s">
        <v>65</v>
      </c>
      <c r="D29" s="16" t="s">
        <v>449</v>
      </c>
      <c r="E29" s="22" t="s">
        <v>66</v>
      </c>
      <c r="F29" s="19" t="s">
        <v>41</v>
      </c>
      <c r="G29" s="20" t="s">
        <v>450</v>
      </c>
      <c r="H29" s="19" t="s">
        <v>41</v>
      </c>
      <c r="I29" s="41" t="s">
        <v>451</v>
      </c>
      <c r="J29" s="16">
        <v>30</v>
      </c>
      <c r="K29" s="39">
        <v>3.3</v>
      </c>
      <c r="L29" s="39">
        <v>3.3</v>
      </c>
      <c r="M29" s="39">
        <v>3.3</v>
      </c>
      <c r="N29" s="39">
        <v>3.3</v>
      </c>
      <c r="O29" s="345"/>
      <c r="P29" s="37">
        <v>0.22</v>
      </c>
      <c r="Q29" s="37">
        <f t="shared" si="0"/>
        <v>6.6</v>
      </c>
      <c r="R29" s="58">
        <v>3923109090</v>
      </c>
      <c r="S29" s="55">
        <v>6.5000000000000002E-2</v>
      </c>
      <c r="T29" s="16" t="s">
        <v>452</v>
      </c>
      <c r="U29" s="16">
        <v>6.45</v>
      </c>
      <c r="V29" s="16">
        <v>0.06</v>
      </c>
      <c r="W29" s="60" t="s">
        <v>69</v>
      </c>
    </row>
    <row r="30" spans="1:23" s="3" customFormat="1" ht="18" customHeight="1">
      <c r="A30" s="15">
        <v>28</v>
      </c>
      <c r="B30" s="373" t="s">
        <v>458</v>
      </c>
      <c r="C30" s="24" t="s">
        <v>60</v>
      </c>
      <c r="D30" s="16" t="s">
        <v>445</v>
      </c>
      <c r="E30" s="22" t="s">
        <v>61</v>
      </c>
      <c r="F30" s="19" t="s">
        <v>41</v>
      </c>
      <c r="G30" s="20" t="s">
        <v>446</v>
      </c>
      <c r="H30" s="19" t="s">
        <v>41</v>
      </c>
      <c r="I30" s="38" t="s">
        <v>447</v>
      </c>
      <c r="J30" s="16">
        <v>48</v>
      </c>
      <c r="K30" s="39">
        <v>17.82</v>
      </c>
      <c r="L30" s="39">
        <v>17.82</v>
      </c>
      <c r="M30" s="39">
        <v>17.82</v>
      </c>
      <c r="N30" s="39">
        <v>17.82</v>
      </c>
      <c r="O30" s="344">
        <v>1</v>
      </c>
      <c r="P30" s="37">
        <v>0.33</v>
      </c>
      <c r="Q30" s="37">
        <f t="shared" si="0"/>
        <v>15.84</v>
      </c>
      <c r="R30" s="58">
        <v>8424200000</v>
      </c>
      <c r="S30" s="55">
        <v>1.7000000000000001E-2</v>
      </c>
      <c r="T30" s="16" t="s">
        <v>448</v>
      </c>
      <c r="U30" s="16">
        <v>9.99</v>
      </c>
      <c r="V30" s="16">
        <v>0.34</v>
      </c>
      <c r="W30" s="60" t="s">
        <v>64</v>
      </c>
    </row>
    <row r="31" spans="1:23" s="3" customFormat="1" ht="18" customHeight="1">
      <c r="A31" s="15">
        <v>29</v>
      </c>
      <c r="B31" s="373"/>
      <c r="C31" s="24" t="s">
        <v>65</v>
      </c>
      <c r="D31" s="16" t="s">
        <v>449</v>
      </c>
      <c r="E31" s="22" t="s">
        <v>66</v>
      </c>
      <c r="F31" s="19" t="s">
        <v>41</v>
      </c>
      <c r="G31" s="20" t="s">
        <v>450</v>
      </c>
      <c r="H31" s="19" t="s">
        <v>41</v>
      </c>
      <c r="I31" s="41" t="s">
        <v>451</v>
      </c>
      <c r="J31" s="16">
        <v>30</v>
      </c>
      <c r="K31" s="39">
        <v>3.3</v>
      </c>
      <c r="L31" s="39">
        <v>3.3</v>
      </c>
      <c r="M31" s="39">
        <v>3.3</v>
      </c>
      <c r="N31" s="39">
        <v>3.3</v>
      </c>
      <c r="O31" s="345"/>
      <c r="P31" s="37">
        <v>0.22</v>
      </c>
      <c r="Q31" s="37">
        <f t="shared" si="0"/>
        <v>6.6</v>
      </c>
      <c r="R31" s="58">
        <v>3923109090</v>
      </c>
      <c r="S31" s="55">
        <v>6.5000000000000002E-2</v>
      </c>
      <c r="T31" s="16" t="s">
        <v>452</v>
      </c>
      <c r="U31" s="16">
        <v>6.45</v>
      </c>
      <c r="V31" s="16">
        <v>0.06</v>
      </c>
      <c r="W31" s="60" t="s">
        <v>69</v>
      </c>
    </row>
    <row r="32" spans="1:23" s="3" customFormat="1" ht="18" customHeight="1">
      <c r="A32" s="15">
        <v>30</v>
      </c>
      <c r="B32" s="373" t="s">
        <v>459</v>
      </c>
      <c r="C32" s="24" t="s">
        <v>60</v>
      </c>
      <c r="D32" s="16" t="s">
        <v>445</v>
      </c>
      <c r="E32" s="22" t="s">
        <v>61</v>
      </c>
      <c r="F32" s="19" t="s">
        <v>41</v>
      </c>
      <c r="G32" s="20" t="s">
        <v>446</v>
      </c>
      <c r="H32" s="19" t="s">
        <v>41</v>
      </c>
      <c r="I32" s="38" t="s">
        <v>447</v>
      </c>
      <c r="J32" s="16">
        <v>48</v>
      </c>
      <c r="K32" s="39">
        <v>17.82</v>
      </c>
      <c r="L32" s="39">
        <v>17.82</v>
      </c>
      <c r="M32" s="39">
        <v>17.82</v>
      </c>
      <c r="N32" s="39">
        <v>17.82</v>
      </c>
      <c r="O32" s="344">
        <v>1</v>
      </c>
      <c r="P32" s="37">
        <v>0.33</v>
      </c>
      <c r="Q32" s="37">
        <f t="shared" si="0"/>
        <v>15.84</v>
      </c>
      <c r="R32" s="58">
        <v>8424200000</v>
      </c>
      <c r="S32" s="55">
        <v>1.7000000000000001E-2</v>
      </c>
      <c r="T32" s="16" t="s">
        <v>448</v>
      </c>
      <c r="U32" s="16">
        <v>9.99</v>
      </c>
      <c r="V32" s="16">
        <v>0.34</v>
      </c>
      <c r="W32" s="60" t="s">
        <v>64</v>
      </c>
    </row>
    <row r="33" spans="1:23" s="3" customFormat="1" ht="18" customHeight="1">
      <c r="A33" s="15">
        <v>31</v>
      </c>
      <c r="B33" s="373"/>
      <c r="C33" s="24" t="s">
        <v>65</v>
      </c>
      <c r="D33" s="16" t="s">
        <v>449</v>
      </c>
      <c r="E33" s="22" t="s">
        <v>66</v>
      </c>
      <c r="F33" s="19" t="s">
        <v>41</v>
      </c>
      <c r="G33" s="20" t="s">
        <v>450</v>
      </c>
      <c r="H33" s="19" t="s">
        <v>41</v>
      </c>
      <c r="I33" s="41" t="s">
        <v>451</v>
      </c>
      <c r="J33" s="16">
        <v>30</v>
      </c>
      <c r="K33" s="39">
        <v>3.3</v>
      </c>
      <c r="L33" s="39">
        <v>3.3</v>
      </c>
      <c r="M33" s="39">
        <v>3.3</v>
      </c>
      <c r="N33" s="39">
        <v>3.3</v>
      </c>
      <c r="O33" s="345"/>
      <c r="P33" s="37">
        <v>0.22</v>
      </c>
      <c r="Q33" s="37">
        <f t="shared" si="0"/>
        <v>6.6</v>
      </c>
      <c r="R33" s="58">
        <v>3923109090</v>
      </c>
      <c r="S33" s="55">
        <v>6.5000000000000002E-2</v>
      </c>
      <c r="T33" s="16" t="s">
        <v>452</v>
      </c>
      <c r="U33" s="16">
        <v>6.45</v>
      </c>
      <c r="V33" s="16">
        <v>0.06</v>
      </c>
      <c r="W33" s="60" t="s">
        <v>69</v>
      </c>
    </row>
    <row r="34" spans="1:23" s="3" customFormat="1" ht="18" customHeight="1">
      <c r="A34" s="15">
        <v>32</v>
      </c>
      <c r="B34" s="373" t="s">
        <v>460</v>
      </c>
      <c r="C34" s="24" t="s">
        <v>60</v>
      </c>
      <c r="D34" s="16" t="s">
        <v>445</v>
      </c>
      <c r="E34" s="22" t="s">
        <v>61</v>
      </c>
      <c r="F34" s="19" t="s">
        <v>41</v>
      </c>
      <c r="G34" s="20" t="s">
        <v>446</v>
      </c>
      <c r="H34" s="19" t="s">
        <v>41</v>
      </c>
      <c r="I34" s="38" t="s">
        <v>447</v>
      </c>
      <c r="J34" s="16">
        <v>48</v>
      </c>
      <c r="K34" s="39">
        <v>17.82</v>
      </c>
      <c r="L34" s="39">
        <v>17.82</v>
      </c>
      <c r="M34" s="39">
        <v>17.82</v>
      </c>
      <c r="N34" s="39">
        <v>17.82</v>
      </c>
      <c r="O34" s="344">
        <v>1</v>
      </c>
      <c r="P34" s="37">
        <v>0.33</v>
      </c>
      <c r="Q34" s="37">
        <f t="shared" si="0"/>
        <v>15.84</v>
      </c>
      <c r="R34" s="58">
        <v>8424200000</v>
      </c>
      <c r="S34" s="55">
        <v>1.7000000000000001E-2</v>
      </c>
      <c r="T34" s="16" t="s">
        <v>448</v>
      </c>
      <c r="U34" s="16">
        <v>9.99</v>
      </c>
      <c r="V34" s="16">
        <v>0.34</v>
      </c>
      <c r="W34" s="60" t="s">
        <v>64</v>
      </c>
    </row>
    <row r="35" spans="1:23" s="3" customFormat="1" ht="18" customHeight="1">
      <c r="A35" s="15">
        <v>33</v>
      </c>
      <c r="B35" s="373"/>
      <c r="C35" s="24" t="s">
        <v>65</v>
      </c>
      <c r="D35" s="16" t="s">
        <v>449</v>
      </c>
      <c r="E35" s="22" t="s">
        <v>66</v>
      </c>
      <c r="F35" s="19" t="s">
        <v>41</v>
      </c>
      <c r="G35" s="20" t="s">
        <v>450</v>
      </c>
      <c r="H35" s="19" t="s">
        <v>41</v>
      </c>
      <c r="I35" s="41" t="s">
        <v>451</v>
      </c>
      <c r="J35" s="16">
        <v>30</v>
      </c>
      <c r="K35" s="39">
        <v>3.3</v>
      </c>
      <c r="L35" s="39">
        <v>3.3</v>
      </c>
      <c r="M35" s="39">
        <v>3.3</v>
      </c>
      <c r="N35" s="39">
        <v>3.3</v>
      </c>
      <c r="O35" s="345"/>
      <c r="P35" s="37">
        <v>0.22</v>
      </c>
      <c r="Q35" s="37">
        <f t="shared" si="0"/>
        <v>6.6</v>
      </c>
      <c r="R35" s="58">
        <v>3923109090</v>
      </c>
      <c r="S35" s="55">
        <v>6.5000000000000002E-2</v>
      </c>
      <c r="T35" s="16" t="s">
        <v>452</v>
      </c>
      <c r="U35" s="16">
        <v>6.45</v>
      </c>
      <c r="V35" s="16">
        <v>0.06</v>
      </c>
      <c r="W35" s="60" t="s">
        <v>69</v>
      </c>
    </row>
    <row r="36" spans="1:23" s="3" customFormat="1" ht="18" customHeight="1">
      <c r="A36" s="15">
        <v>34</v>
      </c>
      <c r="B36" s="373" t="s">
        <v>461</v>
      </c>
      <c r="C36" s="24" t="s">
        <v>60</v>
      </c>
      <c r="D36" s="16" t="s">
        <v>445</v>
      </c>
      <c r="E36" s="22" t="s">
        <v>61</v>
      </c>
      <c r="F36" s="19" t="s">
        <v>41</v>
      </c>
      <c r="G36" s="20" t="s">
        <v>446</v>
      </c>
      <c r="H36" s="19" t="s">
        <v>41</v>
      </c>
      <c r="I36" s="38" t="s">
        <v>447</v>
      </c>
      <c r="J36" s="16">
        <v>48</v>
      </c>
      <c r="K36" s="39">
        <v>17.82</v>
      </c>
      <c r="L36" s="39">
        <v>17.82</v>
      </c>
      <c r="M36" s="39">
        <v>17.82</v>
      </c>
      <c r="N36" s="39">
        <v>17.82</v>
      </c>
      <c r="O36" s="344">
        <v>1</v>
      </c>
      <c r="P36" s="37">
        <v>0.33</v>
      </c>
      <c r="Q36" s="37">
        <f t="shared" si="0"/>
        <v>15.84</v>
      </c>
      <c r="R36" s="58">
        <v>8424200000</v>
      </c>
      <c r="S36" s="55">
        <v>1.7000000000000001E-2</v>
      </c>
      <c r="T36" s="16" t="s">
        <v>448</v>
      </c>
      <c r="U36" s="16">
        <v>9.99</v>
      </c>
      <c r="V36" s="16">
        <v>0.34</v>
      </c>
      <c r="W36" s="60" t="s">
        <v>64</v>
      </c>
    </row>
    <row r="37" spans="1:23" s="3" customFormat="1" ht="18" customHeight="1">
      <c r="A37" s="15">
        <v>35</v>
      </c>
      <c r="B37" s="373"/>
      <c r="C37" s="24" t="s">
        <v>65</v>
      </c>
      <c r="D37" s="16" t="s">
        <v>449</v>
      </c>
      <c r="E37" s="22" t="s">
        <v>66</v>
      </c>
      <c r="F37" s="19" t="s">
        <v>41</v>
      </c>
      <c r="G37" s="20" t="s">
        <v>450</v>
      </c>
      <c r="H37" s="19" t="s">
        <v>41</v>
      </c>
      <c r="I37" s="41" t="s">
        <v>451</v>
      </c>
      <c r="J37" s="16">
        <v>32</v>
      </c>
      <c r="K37" s="39">
        <v>3.42</v>
      </c>
      <c r="L37" s="39">
        <v>3.42</v>
      </c>
      <c r="M37" s="39">
        <v>3.42</v>
      </c>
      <c r="N37" s="39">
        <v>3.42</v>
      </c>
      <c r="O37" s="345"/>
      <c r="P37" s="37">
        <v>0.22</v>
      </c>
      <c r="Q37" s="37">
        <f t="shared" si="0"/>
        <v>7.04</v>
      </c>
      <c r="R37" s="58">
        <v>3923109090</v>
      </c>
      <c r="S37" s="55">
        <v>6.5000000000000002E-2</v>
      </c>
      <c r="T37" s="16" t="s">
        <v>452</v>
      </c>
      <c r="U37" s="16">
        <v>6.45</v>
      </c>
      <c r="V37" s="16">
        <v>0.06</v>
      </c>
      <c r="W37" s="60" t="s">
        <v>69</v>
      </c>
    </row>
    <row r="38" spans="1:23" s="3" customFormat="1" ht="18" customHeight="1">
      <c r="A38" s="15">
        <v>36</v>
      </c>
      <c r="B38" s="23" t="s">
        <v>462</v>
      </c>
      <c r="C38" s="16" t="s">
        <v>80</v>
      </c>
      <c r="D38" s="16" t="s">
        <v>463</v>
      </c>
      <c r="E38" s="22" t="s">
        <v>81</v>
      </c>
      <c r="F38" s="19" t="s">
        <v>41</v>
      </c>
      <c r="G38" s="20" t="s">
        <v>464</v>
      </c>
      <c r="H38" s="19" t="s">
        <v>41</v>
      </c>
      <c r="I38" s="38" t="s">
        <v>465</v>
      </c>
      <c r="J38" s="42">
        <v>204</v>
      </c>
      <c r="K38" s="39">
        <v>10.68</v>
      </c>
      <c r="L38" s="39">
        <v>10.68</v>
      </c>
      <c r="M38" s="39">
        <v>10.68</v>
      </c>
      <c r="N38" s="39">
        <v>10.68</v>
      </c>
      <c r="O38" s="15">
        <v>1</v>
      </c>
      <c r="P38" s="37">
        <v>0.08</v>
      </c>
      <c r="Q38" s="37">
        <f t="shared" si="0"/>
        <v>16.32</v>
      </c>
      <c r="R38" s="58">
        <v>9609909000</v>
      </c>
      <c r="S38" s="55">
        <v>1.7000000000000001E-2</v>
      </c>
      <c r="T38" s="16" t="s">
        <v>466</v>
      </c>
      <c r="U38" s="16">
        <v>7.99</v>
      </c>
      <c r="V38" s="16">
        <v>4.4999999999999998E-2</v>
      </c>
      <c r="W38" s="61" t="s">
        <v>84</v>
      </c>
    </row>
    <row r="39" spans="1:23" s="3" customFormat="1" ht="18" customHeight="1">
      <c r="A39" s="15">
        <v>37</v>
      </c>
      <c r="B39" s="340" t="s">
        <v>85</v>
      </c>
      <c r="C39" s="26" t="s">
        <v>86</v>
      </c>
      <c r="D39" s="16" t="s">
        <v>467</v>
      </c>
      <c r="E39" s="22" t="s">
        <v>87</v>
      </c>
      <c r="F39" s="19" t="s">
        <v>41</v>
      </c>
      <c r="G39" s="27" t="s">
        <v>468</v>
      </c>
      <c r="H39" s="19" t="s">
        <v>41</v>
      </c>
      <c r="I39" s="43" t="s">
        <v>469</v>
      </c>
      <c r="J39" s="25">
        <v>30</v>
      </c>
      <c r="K39" s="25">
        <v>8.1</v>
      </c>
      <c r="L39" s="25">
        <v>8.1</v>
      </c>
      <c r="M39" s="25">
        <v>8.1</v>
      </c>
      <c r="N39" s="25">
        <v>8.1</v>
      </c>
      <c r="O39" s="339">
        <v>1</v>
      </c>
      <c r="P39" s="37">
        <v>0.8</v>
      </c>
      <c r="Q39" s="37">
        <f t="shared" si="0"/>
        <v>24</v>
      </c>
      <c r="R39" s="58">
        <v>3926909790</v>
      </c>
      <c r="S39" s="55">
        <v>6.5000000000000002E-2</v>
      </c>
      <c r="T39" s="62" t="s">
        <v>470</v>
      </c>
      <c r="U39" s="62">
        <v>11.16</v>
      </c>
      <c r="V39" s="62">
        <v>0.22</v>
      </c>
      <c r="W39" s="63" t="s">
        <v>90</v>
      </c>
    </row>
    <row r="40" spans="1:23" s="3" customFormat="1" ht="18" customHeight="1">
      <c r="A40" s="15">
        <v>38</v>
      </c>
      <c r="B40" s="340"/>
      <c r="C40" s="26" t="s">
        <v>91</v>
      </c>
      <c r="D40" s="16" t="s">
        <v>471</v>
      </c>
      <c r="E40" s="22" t="s">
        <v>92</v>
      </c>
      <c r="F40" s="19" t="s">
        <v>41</v>
      </c>
      <c r="G40" s="25" t="s">
        <v>93</v>
      </c>
      <c r="H40" s="19" t="s">
        <v>41</v>
      </c>
      <c r="I40" s="43" t="s">
        <v>472</v>
      </c>
      <c r="J40" s="25">
        <v>30</v>
      </c>
      <c r="K40" s="25">
        <v>21.3</v>
      </c>
      <c r="L40" s="25">
        <v>21.3</v>
      </c>
      <c r="M40" s="25">
        <v>21.3</v>
      </c>
      <c r="N40" s="25">
        <v>21.3</v>
      </c>
      <c r="O40" s="339"/>
      <c r="P40" s="37">
        <v>0.8</v>
      </c>
      <c r="Q40" s="37">
        <f t="shared" si="0"/>
        <v>24</v>
      </c>
      <c r="R40" s="58">
        <v>9506999000</v>
      </c>
      <c r="S40" s="55">
        <v>2.7E-2</v>
      </c>
      <c r="T40" s="62" t="s">
        <v>473</v>
      </c>
      <c r="U40" s="62">
        <v>14.59</v>
      </c>
      <c r="V40" s="62">
        <v>0.66</v>
      </c>
      <c r="W40" s="63" t="s">
        <v>95</v>
      </c>
    </row>
    <row r="41" spans="1:23" s="3" customFormat="1" ht="18" customHeight="1">
      <c r="A41" s="15">
        <v>39</v>
      </c>
      <c r="B41" s="340" t="s">
        <v>96</v>
      </c>
      <c r="C41" s="26" t="s">
        <v>97</v>
      </c>
      <c r="D41" s="16" t="s">
        <v>474</v>
      </c>
      <c r="E41" s="22" t="s">
        <v>98</v>
      </c>
      <c r="F41" s="19" t="s">
        <v>41</v>
      </c>
      <c r="G41" s="27" t="s">
        <v>475</v>
      </c>
      <c r="H41" s="19" t="s">
        <v>41</v>
      </c>
      <c r="I41" s="44" t="s">
        <v>476</v>
      </c>
      <c r="J41" s="25">
        <v>29</v>
      </c>
      <c r="K41" s="25">
        <v>6.72</v>
      </c>
      <c r="L41" s="25">
        <v>6.72</v>
      </c>
      <c r="M41" s="25">
        <v>6.72</v>
      </c>
      <c r="N41" s="25">
        <v>6.72</v>
      </c>
      <c r="O41" s="339">
        <v>1</v>
      </c>
      <c r="P41" s="37">
        <v>0.8</v>
      </c>
      <c r="Q41" s="37">
        <f t="shared" si="0"/>
        <v>23.200000000000003</v>
      </c>
      <c r="R41" s="58">
        <v>3923309090</v>
      </c>
      <c r="S41" s="55">
        <v>6.5000000000000002E-2</v>
      </c>
      <c r="T41" s="62" t="s">
        <v>477</v>
      </c>
      <c r="U41" s="62">
        <v>10.99</v>
      </c>
      <c r="V41" s="62">
        <v>0.18</v>
      </c>
      <c r="W41" s="63" t="s">
        <v>101</v>
      </c>
    </row>
    <row r="42" spans="1:23" s="3" customFormat="1" ht="18" customHeight="1">
      <c r="A42" s="15">
        <v>40</v>
      </c>
      <c r="B42" s="340"/>
      <c r="C42" s="26" t="s">
        <v>102</v>
      </c>
      <c r="D42" s="16" t="s">
        <v>478</v>
      </c>
      <c r="E42" s="22" t="s">
        <v>103</v>
      </c>
      <c r="F42" s="19" t="s">
        <v>41</v>
      </c>
      <c r="G42" s="27" t="s">
        <v>479</v>
      </c>
      <c r="H42" s="19" t="s">
        <v>41</v>
      </c>
      <c r="I42" s="44" t="s">
        <v>476</v>
      </c>
      <c r="J42" s="25">
        <v>30</v>
      </c>
      <c r="K42" s="25">
        <v>9</v>
      </c>
      <c r="L42" s="25">
        <v>9</v>
      </c>
      <c r="M42" s="25">
        <v>9</v>
      </c>
      <c r="N42" s="25">
        <v>9</v>
      </c>
      <c r="O42" s="339"/>
      <c r="P42" s="37">
        <v>0.8</v>
      </c>
      <c r="Q42" s="37">
        <f t="shared" si="0"/>
        <v>24</v>
      </c>
      <c r="R42" s="58">
        <v>7323930090</v>
      </c>
      <c r="S42" s="55">
        <v>3.2000000000000001E-2</v>
      </c>
      <c r="T42" s="62"/>
      <c r="U42" s="62"/>
      <c r="V42" s="62"/>
      <c r="W42" s="63" t="s">
        <v>105</v>
      </c>
    </row>
    <row r="43" spans="1:23" s="3" customFormat="1" ht="18" customHeight="1">
      <c r="A43" s="15">
        <v>41</v>
      </c>
      <c r="B43" s="340" t="s">
        <v>106</v>
      </c>
      <c r="C43" s="26" t="s">
        <v>107</v>
      </c>
      <c r="D43" s="16" t="s">
        <v>480</v>
      </c>
      <c r="E43" s="22" t="s">
        <v>108</v>
      </c>
      <c r="F43" s="19" t="s">
        <v>41</v>
      </c>
      <c r="G43" s="25" t="s">
        <v>109</v>
      </c>
      <c r="H43" s="19" t="s">
        <v>41</v>
      </c>
      <c r="I43" s="44" t="s">
        <v>469</v>
      </c>
      <c r="J43" s="25">
        <v>30</v>
      </c>
      <c r="K43" s="25">
        <v>3.51</v>
      </c>
      <c r="L43" s="25">
        <v>3.51</v>
      </c>
      <c r="M43" s="25">
        <v>3.51</v>
      </c>
      <c r="N43" s="25">
        <v>3.51</v>
      </c>
      <c r="O43" s="339">
        <v>1</v>
      </c>
      <c r="P43" s="37">
        <v>0.8</v>
      </c>
      <c r="Q43" s="37">
        <f t="shared" si="0"/>
        <v>24</v>
      </c>
      <c r="R43" s="58">
        <v>8214200000</v>
      </c>
      <c r="S43" s="55">
        <v>2.7E-2</v>
      </c>
      <c r="T43" s="62" t="s">
        <v>481</v>
      </c>
      <c r="U43" s="62">
        <v>11.4</v>
      </c>
      <c r="V43" s="62">
        <v>6.7000000000000004E-2</v>
      </c>
      <c r="W43" s="63" t="s">
        <v>110</v>
      </c>
    </row>
    <row r="44" spans="1:23" s="3" customFormat="1" ht="18" customHeight="1">
      <c r="A44" s="15">
        <v>42</v>
      </c>
      <c r="B44" s="340"/>
      <c r="C44" s="26" t="s">
        <v>111</v>
      </c>
      <c r="D44" s="28" t="s">
        <v>482</v>
      </c>
      <c r="E44" s="29" t="s">
        <v>483</v>
      </c>
      <c r="F44" s="19" t="s">
        <v>41</v>
      </c>
      <c r="G44" s="25" t="s">
        <v>93</v>
      </c>
      <c r="H44" s="19" t="s">
        <v>41</v>
      </c>
      <c r="I44" s="44" t="s">
        <v>484</v>
      </c>
      <c r="J44" s="25">
        <v>30</v>
      </c>
      <c r="K44" s="25">
        <v>2.7</v>
      </c>
      <c r="L44" s="25">
        <v>2.7</v>
      </c>
      <c r="M44" s="25">
        <v>2.7</v>
      </c>
      <c r="N44" s="25">
        <v>2.7</v>
      </c>
      <c r="O44" s="339"/>
      <c r="P44" s="37">
        <v>0.8</v>
      </c>
      <c r="Q44" s="37">
        <f t="shared" si="0"/>
        <v>24</v>
      </c>
      <c r="R44" s="58">
        <v>9021109000</v>
      </c>
      <c r="S44" s="55">
        <v>0</v>
      </c>
      <c r="T44" s="62" t="s">
        <v>485</v>
      </c>
      <c r="U44" s="62">
        <v>10.26</v>
      </c>
      <c r="V44" s="62">
        <v>0.04</v>
      </c>
      <c r="W44" s="63" t="s">
        <v>114</v>
      </c>
    </row>
    <row r="45" spans="1:23" s="3" customFormat="1" ht="18" customHeight="1">
      <c r="A45" s="15">
        <v>43</v>
      </c>
      <c r="B45" s="340"/>
      <c r="C45" s="25" t="s">
        <v>115</v>
      </c>
      <c r="D45" s="16" t="s">
        <v>486</v>
      </c>
      <c r="E45" s="22" t="s">
        <v>116</v>
      </c>
      <c r="F45" s="19" t="s">
        <v>41</v>
      </c>
      <c r="G45" s="27" t="s">
        <v>487</v>
      </c>
      <c r="H45" s="19" t="s">
        <v>41</v>
      </c>
      <c r="I45" s="44" t="s">
        <v>484</v>
      </c>
      <c r="J45" s="25">
        <v>30</v>
      </c>
      <c r="K45" s="25">
        <v>4.08</v>
      </c>
      <c r="L45" s="25">
        <v>4.08</v>
      </c>
      <c r="M45" s="25">
        <v>4.08</v>
      </c>
      <c r="N45" s="25">
        <v>4.08</v>
      </c>
      <c r="O45" s="339"/>
      <c r="P45" s="37">
        <v>0.8</v>
      </c>
      <c r="Q45" s="37">
        <f t="shared" si="0"/>
        <v>24</v>
      </c>
      <c r="R45" s="58">
        <v>9506919000</v>
      </c>
      <c r="S45" s="55">
        <v>2.7E-2</v>
      </c>
      <c r="T45" s="62" t="s">
        <v>488</v>
      </c>
      <c r="U45" s="62">
        <v>11.99</v>
      </c>
      <c r="V45" s="62">
        <v>8.5999999999999993E-2</v>
      </c>
      <c r="W45" s="63" t="s">
        <v>118</v>
      </c>
    </row>
    <row r="46" spans="1:23" s="3" customFormat="1" ht="18" customHeight="1">
      <c r="A46" s="15">
        <v>44</v>
      </c>
      <c r="B46" s="340" t="s">
        <v>119</v>
      </c>
      <c r="C46" s="25" t="s">
        <v>120</v>
      </c>
      <c r="D46" s="30" t="s">
        <v>489</v>
      </c>
      <c r="E46" s="22" t="s">
        <v>121</v>
      </c>
      <c r="F46" s="19" t="s">
        <v>41</v>
      </c>
      <c r="G46" s="27" t="s">
        <v>490</v>
      </c>
      <c r="H46" s="19" t="s">
        <v>41</v>
      </c>
      <c r="I46" s="44" t="s">
        <v>484</v>
      </c>
      <c r="J46" s="25">
        <v>27</v>
      </c>
      <c r="K46" s="25">
        <v>2.04</v>
      </c>
      <c r="L46" s="25">
        <v>2.04</v>
      </c>
      <c r="M46" s="25">
        <v>2.04</v>
      </c>
      <c r="N46" s="25">
        <v>2.04</v>
      </c>
      <c r="O46" s="339">
        <v>1</v>
      </c>
      <c r="P46" s="37">
        <v>0.8</v>
      </c>
      <c r="Q46" s="37">
        <f t="shared" si="0"/>
        <v>21.6</v>
      </c>
      <c r="R46" s="58" t="s">
        <v>491</v>
      </c>
      <c r="S46" s="55">
        <v>2.7E-2</v>
      </c>
      <c r="T46" s="62" t="s">
        <v>492</v>
      </c>
      <c r="U46" s="62"/>
      <c r="V46" s="62">
        <v>0.02</v>
      </c>
      <c r="W46" s="63" t="s">
        <v>123</v>
      </c>
    </row>
    <row r="47" spans="1:23" s="3" customFormat="1" ht="18" customHeight="1">
      <c r="A47" s="15">
        <v>45</v>
      </c>
      <c r="B47" s="340"/>
      <c r="C47" s="26" t="s">
        <v>124</v>
      </c>
      <c r="D47" s="16" t="s">
        <v>493</v>
      </c>
      <c r="E47" s="22" t="s">
        <v>125</v>
      </c>
      <c r="F47" s="19" t="s">
        <v>41</v>
      </c>
      <c r="G47" s="27" t="s">
        <v>494</v>
      </c>
      <c r="H47" s="19" t="s">
        <v>41</v>
      </c>
      <c r="I47" s="44" t="s">
        <v>484</v>
      </c>
      <c r="J47" s="25">
        <v>20</v>
      </c>
      <c r="K47" s="25">
        <v>12.3</v>
      </c>
      <c r="L47" s="25">
        <v>12.3</v>
      </c>
      <c r="M47" s="25">
        <v>12.3</v>
      </c>
      <c r="N47" s="25">
        <v>12.3</v>
      </c>
      <c r="O47" s="339"/>
      <c r="P47" s="37">
        <v>0.8</v>
      </c>
      <c r="Q47" s="37">
        <f t="shared" si="0"/>
        <v>16</v>
      </c>
      <c r="R47" s="58">
        <v>6304990099</v>
      </c>
      <c r="S47" s="55">
        <v>0.12</v>
      </c>
      <c r="T47" s="54" t="s">
        <v>495</v>
      </c>
      <c r="U47" s="54">
        <v>14.98</v>
      </c>
      <c r="V47" s="54">
        <v>0.54</v>
      </c>
      <c r="W47" s="64" t="s">
        <v>127</v>
      </c>
    </row>
    <row r="48" spans="1:23" s="3" customFormat="1" ht="18" customHeight="1">
      <c r="A48" s="15">
        <v>46</v>
      </c>
      <c r="B48" s="340"/>
      <c r="C48" s="26" t="s">
        <v>128</v>
      </c>
      <c r="D48" s="17" t="s">
        <v>426</v>
      </c>
      <c r="E48" s="22" t="s">
        <v>40</v>
      </c>
      <c r="F48" s="19" t="s">
        <v>41</v>
      </c>
      <c r="G48" s="27" t="s">
        <v>487</v>
      </c>
      <c r="H48" s="19" t="s">
        <v>41</v>
      </c>
      <c r="I48" s="44" t="s">
        <v>496</v>
      </c>
      <c r="J48" s="25">
        <v>30</v>
      </c>
      <c r="K48" s="45">
        <v>17.7</v>
      </c>
      <c r="L48" s="45">
        <v>4.5</v>
      </c>
      <c r="M48" s="25">
        <v>4.5</v>
      </c>
      <c r="N48" s="25">
        <v>4.5</v>
      </c>
      <c r="O48" s="339"/>
      <c r="P48" s="37">
        <v>0.55000000000000004</v>
      </c>
      <c r="Q48" s="37">
        <f t="shared" si="0"/>
        <v>16.5</v>
      </c>
      <c r="R48" s="58">
        <v>6207999099</v>
      </c>
      <c r="S48" s="55">
        <v>0.12</v>
      </c>
      <c r="T48" s="62" t="s">
        <v>497</v>
      </c>
      <c r="U48" s="62"/>
      <c r="V48" s="62">
        <v>0.54</v>
      </c>
      <c r="W48" s="63" t="s">
        <v>131</v>
      </c>
    </row>
    <row r="49" spans="1:23" s="3" customFormat="1" ht="18" customHeight="1">
      <c r="A49" s="15">
        <v>47</v>
      </c>
      <c r="B49" s="340" t="s">
        <v>132</v>
      </c>
      <c r="C49" s="26" t="s">
        <v>133</v>
      </c>
      <c r="D49" s="16" t="s">
        <v>498</v>
      </c>
      <c r="E49" s="22" t="s">
        <v>134</v>
      </c>
      <c r="F49" s="19" t="s">
        <v>41</v>
      </c>
      <c r="G49" s="27" t="s">
        <v>499</v>
      </c>
      <c r="H49" s="19" t="s">
        <v>41</v>
      </c>
      <c r="I49" s="44" t="s">
        <v>469</v>
      </c>
      <c r="J49" s="25">
        <v>30</v>
      </c>
      <c r="K49" s="25">
        <v>9.9</v>
      </c>
      <c r="L49" s="25">
        <v>9.9</v>
      </c>
      <c r="M49" s="25">
        <v>9.9</v>
      </c>
      <c r="N49" s="25">
        <v>9.9</v>
      </c>
      <c r="O49" s="339">
        <v>1</v>
      </c>
      <c r="P49" s="37">
        <v>0.8</v>
      </c>
      <c r="Q49" s="37">
        <f t="shared" si="0"/>
        <v>24</v>
      </c>
      <c r="R49" s="58">
        <v>7319909000</v>
      </c>
      <c r="S49" s="55">
        <v>2.7E-2</v>
      </c>
      <c r="T49" s="62" t="s">
        <v>500</v>
      </c>
      <c r="U49" s="62"/>
      <c r="V49" s="62">
        <v>0.28000000000000003</v>
      </c>
      <c r="W49" s="63" t="s">
        <v>136</v>
      </c>
    </row>
    <row r="50" spans="1:23" s="3" customFormat="1" ht="18" customHeight="1">
      <c r="A50" s="15">
        <v>48</v>
      </c>
      <c r="B50" s="340"/>
      <c r="C50" s="26" t="s">
        <v>124</v>
      </c>
      <c r="D50" s="16" t="s">
        <v>493</v>
      </c>
      <c r="E50" s="22" t="s">
        <v>125</v>
      </c>
      <c r="F50" s="19" t="s">
        <v>41</v>
      </c>
      <c r="G50" s="27" t="s">
        <v>494</v>
      </c>
      <c r="H50" s="19" t="s">
        <v>41</v>
      </c>
      <c r="I50" s="44" t="s">
        <v>484</v>
      </c>
      <c r="J50" s="25">
        <v>10</v>
      </c>
      <c r="K50" s="25">
        <v>6.9</v>
      </c>
      <c r="L50" s="25">
        <v>6.9</v>
      </c>
      <c r="M50" s="25">
        <v>6.9</v>
      </c>
      <c r="N50" s="25">
        <v>6.9</v>
      </c>
      <c r="O50" s="339"/>
      <c r="P50" s="37">
        <v>0.8</v>
      </c>
      <c r="Q50" s="37">
        <f t="shared" si="0"/>
        <v>8</v>
      </c>
      <c r="R50" s="58">
        <v>6304990099</v>
      </c>
      <c r="S50" s="55">
        <v>0.12</v>
      </c>
      <c r="T50" s="54" t="s">
        <v>495</v>
      </c>
      <c r="U50" s="54">
        <v>14.98</v>
      </c>
      <c r="V50" s="54">
        <v>0.54</v>
      </c>
      <c r="W50" s="25" t="s">
        <v>127</v>
      </c>
    </row>
    <row r="51" spans="1:23" s="3" customFormat="1" ht="18" customHeight="1">
      <c r="A51" s="15">
        <v>49</v>
      </c>
      <c r="B51" s="340"/>
      <c r="C51" s="26" t="s">
        <v>137</v>
      </c>
      <c r="D51" s="28" t="s">
        <v>482</v>
      </c>
      <c r="E51" s="29" t="s">
        <v>483</v>
      </c>
      <c r="F51" s="19" t="s">
        <v>41</v>
      </c>
      <c r="G51" s="27" t="s">
        <v>501</v>
      </c>
      <c r="H51" s="19" t="s">
        <v>41</v>
      </c>
      <c r="I51" s="44" t="s">
        <v>484</v>
      </c>
      <c r="J51" s="25">
        <v>26</v>
      </c>
      <c r="K51" s="25">
        <v>4.0999999999999996</v>
      </c>
      <c r="L51" s="25">
        <v>4.0999999999999996</v>
      </c>
      <c r="M51" s="25">
        <v>4.0999999999999996</v>
      </c>
      <c r="N51" s="25">
        <v>4.0999999999999996</v>
      </c>
      <c r="O51" s="339"/>
      <c r="P51" s="37">
        <v>0.8</v>
      </c>
      <c r="Q51" s="37">
        <f t="shared" si="0"/>
        <v>20.8</v>
      </c>
      <c r="R51" s="58">
        <v>9021109000</v>
      </c>
      <c r="S51" s="55">
        <v>0</v>
      </c>
      <c r="T51" s="62" t="s">
        <v>502</v>
      </c>
      <c r="U51" s="62">
        <v>11.99</v>
      </c>
      <c r="V51" s="62">
        <v>0.1</v>
      </c>
      <c r="W51" s="63" t="s">
        <v>140</v>
      </c>
    </row>
    <row r="52" spans="1:23" s="3" customFormat="1" ht="18" customHeight="1">
      <c r="A52" s="15">
        <v>50</v>
      </c>
      <c r="B52" s="25" t="s">
        <v>141</v>
      </c>
      <c r="C52" s="26" t="s">
        <v>128</v>
      </c>
      <c r="D52" s="17" t="s">
        <v>426</v>
      </c>
      <c r="E52" s="22" t="s">
        <v>40</v>
      </c>
      <c r="F52" s="19" t="s">
        <v>41</v>
      </c>
      <c r="G52" s="27" t="s">
        <v>487</v>
      </c>
      <c r="H52" s="19" t="s">
        <v>41</v>
      </c>
      <c r="I52" s="44" t="s">
        <v>496</v>
      </c>
      <c r="J52" s="25">
        <v>30</v>
      </c>
      <c r="K52" s="45">
        <v>7.5</v>
      </c>
      <c r="L52" s="45">
        <v>4.5</v>
      </c>
      <c r="M52" s="25">
        <v>4.5</v>
      </c>
      <c r="N52" s="25">
        <v>4.5</v>
      </c>
      <c r="O52" s="26">
        <v>1</v>
      </c>
      <c r="P52" s="37">
        <v>0.55000000000000004</v>
      </c>
      <c r="Q52" s="37">
        <f t="shared" si="0"/>
        <v>16.5</v>
      </c>
      <c r="R52" s="58">
        <v>6207999099</v>
      </c>
      <c r="S52" s="55">
        <v>0.12</v>
      </c>
      <c r="T52" s="62" t="s">
        <v>503</v>
      </c>
      <c r="U52" s="62"/>
      <c r="V52" s="62">
        <v>0.2</v>
      </c>
      <c r="W52" s="63" t="s">
        <v>142</v>
      </c>
    </row>
    <row r="53" spans="1:23" s="3" customFormat="1" ht="18" customHeight="1">
      <c r="A53" s="15">
        <v>51</v>
      </c>
      <c r="B53" s="340" t="s">
        <v>143</v>
      </c>
      <c r="C53" s="26" t="s">
        <v>144</v>
      </c>
      <c r="D53" s="16" t="s">
        <v>504</v>
      </c>
      <c r="E53" s="22" t="s">
        <v>145</v>
      </c>
      <c r="F53" s="19" t="s">
        <v>41</v>
      </c>
      <c r="G53" s="27" t="s">
        <v>499</v>
      </c>
      <c r="H53" s="19" t="s">
        <v>41</v>
      </c>
      <c r="I53" s="44" t="s">
        <v>476</v>
      </c>
      <c r="J53" s="25">
        <v>30</v>
      </c>
      <c r="K53" s="25">
        <v>9</v>
      </c>
      <c r="L53" s="25">
        <v>9</v>
      </c>
      <c r="M53" s="25">
        <v>9</v>
      </c>
      <c r="N53" s="25">
        <v>9</v>
      </c>
      <c r="O53" s="339">
        <v>1</v>
      </c>
      <c r="P53" s="37">
        <v>0.8</v>
      </c>
      <c r="Q53" s="37">
        <f t="shared" si="0"/>
        <v>24</v>
      </c>
      <c r="R53" s="58">
        <v>7323930090</v>
      </c>
      <c r="S53" s="55">
        <v>3.2000000000000001E-2</v>
      </c>
      <c r="T53" s="62"/>
      <c r="U53" s="62"/>
      <c r="V53" s="62"/>
      <c r="W53" s="63" t="s">
        <v>146</v>
      </c>
    </row>
    <row r="54" spans="1:23" s="3" customFormat="1" ht="18" customHeight="1">
      <c r="A54" s="15">
        <v>52</v>
      </c>
      <c r="B54" s="340"/>
      <c r="C54" s="26" t="s">
        <v>147</v>
      </c>
      <c r="D54" s="16" t="s">
        <v>505</v>
      </c>
      <c r="E54" s="22" t="s">
        <v>148</v>
      </c>
      <c r="F54" s="19" t="s">
        <v>41</v>
      </c>
      <c r="G54" s="27" t="s">
        <v>506</v>
      </c>
      <c r="H54" s="19" t="s">
        <v>41</v>
      </c>
      <c r="I54" s="44" t="s">
        <v>472</v>
      </c>
      <c r="J54" s="25">
        <v>27</v>
      </c>
      <c r="K54" s="25">
        <v>2.58</v>
      </c>
      <c r="L54" s="25">
        <v>2.58</v>
      </c>
      <c r="M54" s="25">
        <v>2.58</v>
      </c>
      <c r="N54" s="25">
        <v>2.58</v>
      </c>
      <c r="O54" s="339"/>
      <c r="P54" s="37">
        <v>0.8</v>
      </c>
      <c r="Q54" s="37">
        <f t="shared" si="0"/>
        <v>21.6</v>
      </c>
      <c r="R54" s="58">
        <v>5908000000</v>
      </c>
      <c r="S54" s="55">
        <v>5.6000000000000001E-2</v>
      </c>
      <c r="T54" s="62" t="s">
        <v>507</v>
      </c>
      <c r="U54" s="62">
        <v>8.99</v>
      </c>
      <c r="V54" s="62">
        <v>0.04</v>
      </c>
      <c r="W54" s="63" t="s">
        <v>150</v>
      </c>
    </row>
    <row r="55" spans="1:23" s="3" customFormat="1" ht="18" customHeight="1">
      <c r="A55" s="15">
        <v>53</v>
      </c>
      <c r="B55" s="340"/>
      <c r="C55" s="26" t="s">
        <v>151</v>
      </c>
      <c r="D55" s="16" t="s">
        <v>508</v>
      </c>
      <c r="E55" s="22" t="s">
        <v>152</v>
      </c>
      <c r="F55" s="19" t="s">
        <v>41</v>
      </c>
      <c r="G55" s="27" t="s">
        <v>487</v>
      </c>
      <c r="H55" s="19" t="s">
        <v>41</v>
      </c>
      <c r="I55" s="44" t="s">
        <v>484</v>
      </c>
      <c r="J55" s="25">
        <v>30</v>
      </c>
      <c r="K55" s="25">
        <v>6</v>
      </c>
      <c r="L55" s="25">
        <v>6</v>
      </c>
      <c r="M55" s="25">
        <v>6</v>
      </c>
      <c r="N55" s="25">
        <v>6</v>
      </c>
      <c r="O55" s="339"/>
      <c r="P55" s="37">
        <v>0.8</v>
      </c>
      <c r="Q55" s="37">
        <f t="shared" si="0"/>
        <v>24</v>
      </c>
      <c r="R55" s="58">
        <v>9021109000</v>
      </c>
      <c r="S55" s="55">
        <v>0</v>
      </c>
      <c r="T55" s="62" t="s">
        <v>509</v>
      </c>
      <c r="U55" s="62">
        <v>13.66</v>
      </c>
      <c r="V55" s="62">
        <v>0.15</v>
      </c>
      <c r="W55" s="63" t="s">
        <v>153</v>
      </c>
    </row>
    <row r="56" spans="1:23" s="3" customFormat="1" ht="18" customHeight="1">
      <c r="A56" s="15">
        <v>54</v>
      </c>
      <c r="B56" s="25" t="s">
        <v>154</v>
      </c>
      <c r="C56" s="26" t="s">
        <v>155</v>
      </c>
      <c r="D56" s="17" t="s">
        <v>426</v>
      </c>
      <c r="E56" s="22" t="s">
        <v>40</v>
      </c>
      <c r="F56" s="19" t="s">
        <v>41</v>
      </c>
      <c r="G56" s="27" t="s">
        <v>487</v>
      </c>
      <c r="H56" s="19" t="s">
        <v>41</v>
      </c>
      <c r="I56" s="44" t="s">
        <v>484</v>
      </c>
      <c r="J56" s="25">
        <v>30</v>
      </c>
      <c r="K56" s="45">
        <v>7.5</v>
      </c>
      <c r="L56" s="45">
        <v>4.5</v>
      </c>
      <c r="M56" s="25">
        <v>4.5</v>
      </c>
      <c r="N56" s="25">
        <v>4.5</v>
      </c>
      <c r="O56" s="26">
        <v>1</v>
      </c>
      <c r="P56" s="37">
        <v>0.55000000000000004</v>
      </c>
      <c r="Q56" s="37">
        <f t="shared" si="0"/>
        <v>16.5</v>
      </c>
      <c r="R56" s="58">
        <v>6207999099</v>
      </c>
      <c r="S56" s="55">
        <v>0.12</v>
      </c>
      <c r="T56" s="62" t="s">
        <v>510</v>
      </c>
      <c r="U56" s="62">
        <v>10.19</v>
      </c>
      <c r="V56" s="62">
        <v>0.2</v>
      </c>
      <c r="W56" s="63" t="s">
        <v>157</v>
      </c>
    </row>
    <row r="57" spans="1:23" s="3" customFormat="1" ht="18" customHeight="1">
      <c r="A57" s="15">
        <v>55</v>
      </c>
      <c r="B57" s="340" t="s">
        <v>158</v>
      </c>
      <c r="C57" s="26" t="s">
        <v>159</v>
      </c>
      <c r="D57" s="16" t="s">
        <v>511</v>
      </c>
      <c r="E57" s="22" t="s">
        <v>164</v>
      </c>
      <c r="F57" s="19" t="s">
        <v>41</v>
      </c>
      <c r="G57" s="27" t="s">
        <v>487</v>
      </c>
      <c r="H57" s="19" t="s">
        <v>41</v>
      </c>
      <c r="I57" s="44" t="s">
        <v>484</v>
      </c>
      <c r="J57" s="25">
        <v>30</v>
      </c>
      <c r="K57" s="25">
        <v>2.46</v>
      </c>
      <c r="L57" s="25">
        <v>2.46</v>
      </c>
      <c r="M57" s="25">
        <v>2.46</v>
      </c>
      <c r="N57" s="25">
        <v>2.46</v>
      </c>
      <c r="O57" s="339">
        <v>1</v>
      </c>
      <c r="P57" s="37">
        <v>0.8</v>
      </c>
      <c r="Q57" s="37">
        <f t="shared" si="0"/>
        <v>24</v>
      </c>
      <c r="R57" s="58">
        <v>9506919000</v>
      </c>
      <c r="S57" s="55">
        <v>2.7E-2</v>
      </c>
      <c r="T57" s="62" t="s">
        <v>512</v>
      </c>
      <c r="U57" s="62">
        <v>8.8800000000000008</v>
      </c>
      <c r="V57" s="62">
        <v>3.2000000000000001E-2</v>
      </c>
      <c r="W57" s="63" t="s">
        <v>161</v>
      </c>
    </row>
    <row r="58" spans="1:23" s="3" customFormat="1" ht="18" customHeight="1">
      <c r="A58" s="15">
        <v>56</v>
      </c>
      <c r="B58" s="340"/>
      <c r="C58" s="26" t="s">
        <v>91</v>
      </c>
      <c r="D58" s="16" t="s">
        <v>471</v>
      </c>
      <c r="E58" s="22" t="s">
        <v>92</v>
      </c>
      <c r="F58" s="19" t="s">
        <v>41</v>
      </c>
      <c r="G58" s="25" t="s">
        <v>93</v>
      </c>
      <c r="H58" s="19" t="s">
        <v>41</v>
      </c>
      <c r="I58" s="44" t="s">
        <v>472</v>
      </c>
      <c r="J58" s="25">
        <v>29</v>
      </c>
      <c r="K58" s="25">
        <v>20.64</v>
      </c>
      <c r="L58" s="25">
        <v>20.64</v>
      </c>
      <c r="M58" s="25">
        <v>20.64</v>
      </c>
      <c r="N58" s="25">
        <v>20.64</v>
      </c>
      <c r="O58" s="339"/>
      <c r="P58" s="37">
        <v>0.8</v>
      </c>
      <c r="Q58" s="37">
        <f t="shared" si="0"/>
        <v>23.200000000000003</v>
      </c>
      <c r="R58" s="58">
        <v>9506999000</v>
      </c>
      <c r="S58" s="55">
        <v>2.7E-2</v>
      </c>
      <c r="T58" s="62" t="s">
        <v>473</v>
      </c>
      <c r="U58" s="62">
        <v>14.59</v>
      </c>
      <c r="V58" s="62">
        <v>0.66</v>
      </c>
      <c r="W58" s="25" t="s">
        <v>162</v>
      </c>
    </row>
    <row r="59" spans="1:23" s="3" customFormat="1" ht="18" customHeight="1">
      <c r="A59" s="15">
        <v>57</v>
      </c>
      <c r="B59" s="340"/>
      <c r="C59" s="26" t="s">
        <v>163</v>
      </c>
      <c r="D59" s="16" t="s">
        <v>513</v>
      </c>
      <c r="E59" s="22" t="s">
        <v>514</v>
      </c>
      <c r="F59" s="19" t="s">
        <v>41</v>
      </c>
      <c r="G59" s="27" t="s">
        <v>515</v>
      </c>
      <c r="H59" s="19" t="s">
        <v>41</v>
      </c>
      <c r="I59" s="44" t="s">
        <v>484</v>
      </c>
      <c r="J59" s="25">
        <v>30</v>
      </c>
      <c r="K59" s="25">
        <v>3.96</v>
      </c>
      <c r="L59" s="25">
        <v>3.96</v>
      </c>
      <c r="M59" s="25">
        <v>3.96</v>
      </c>
      <c r="N59" s="25">
        <v>3.96</v>
      </c>
      <c r="O59" s="339"/>
      <c r="P59" s="37">
        <v>0.8</v>
      </c>
      <c r="Q59" s="37">
        <f t="shared" si="0"/>
        <v>24</v>
      </c>
      <c r="R59" s="58">
        <v>9506919000</v>
      </c>
      <c r="S59" s="55">
        <v>2.7E-2</v>
      </c>
      <c r="T59" s="62" t="s">
        <v>516</v>
      </c>
      <c r="U59" s="62">
        <v>6.99</v>
      </c>
      <c r="V59" s="62">
        <v>8.2000000000000003E-2</v>
      </c>
      <c r="W59" s="63" t="s">
        <v>166</v>
      </c>
    </row>
    <row r="60" spans="1:23" s="3" customFormat="1" ht="18" customHeight="1">
      <c r="A60" s="15">
        <v>58</v>
      </c>
      <c r="B60" s="25" t="s">
        <v>167</v>
      </c>
      <c r="C60" s="26" t="s">
        <v>124</v>
      </c>
      <c r="D60" s="16" t="s">
        <v>493</v>
      </c>
      <c r="E60" s="22" t="s">
        <v>125</v>
      </c>
      <c r="F60" s="19" t="s">
        <v>41</v>
      </c>
      <c r="G60" s="27" t="s">
        <v>517</v>
      </c>
      <c r="H60" s="19" t="s">
        <v>41</v>
      </c>
      <c r="I60" s="44" t="s">
        <v>484</v>
      </c>
      <c r="J60" s="25">
        <v>15</v>
      </c>
      <c r="K60" s="25">
        <v>9.6</v>
      </c>
      <c r="L60" s="25">
        <v>9.6</v>
      </c>
      <c r="M60" s="25">
        <v>9.6</v>
      </c>
      <c r="N60" s="25">
        <v>9.6</v>
      </c>
      <c r="O60" s="26">
        <v>1</v>
      </c>
      <c r="P60" s="37">
        <v>0.8</v>
      </c>
      <c r="Q60" s="37">
        <f t="shared" si="0"/>
        <v>12</v>
      </c>
      <c r="R60" s="58">
        <v>6304990099</v>
      </c>
      <c r="S60" s="55">
        <v>0.12</v>
      </c>
      <c r="T60" s="54" t="s">
        <v>495</v>
      </c>
      <c r="U60" s="54">
        <v>14.98</v>
      </c>
      <c r="V60" s="54">
        <v>0.54</v>
      </c>
      <c r="W60" s="25" t="s">
        <v>127</v>
      </c>
    </row>
    <row r="61" spans="1:23" s="3" customFormat="1" ht="18" customHeight="1">
      <c r="A61" s="15">
        <v>59</v>
      </c>
      <c r="B61" s="25" t="s">
        <v>169</v>
      </c>
      <c r="C61" s="26" t="s">
        <v>124</v>
      </c>
      <c r="D61" s="16" t="s">
        <v>493</v>
      </c>
      <c r="E61" s="22" t="s">
        <v>125</v>
      </c>
      <c r="F61" s="19" t="s">
        <v>41</v>
      </c>
      <c r="G61" s="27" t="s">
        <v>517</v>
      </c>
      <c r="H61" s="19" t="s">
        <v>41</v>
      </c>
      <c r="I61" s="44" t="s">
        <v>484</v>
      </c>
      <c r="J61" s="25">
        <v>15</v>
      </c>
      <c r="K61" s="25">
        <v>9.6</v>
      </c>
      <c r="L61" s="25">
        <v>9.6</v>
      </c>
      <c r="M61" s="25">
        <v>9.6</v>
      </c>
      <c r="N61" s="25">
        <v>9.6</v>
      </c>
      <c r="O61" s="26">
        <v>1</v>
      </c>
      <c r="P61" s="37">
        <v>0.8</v>
      </c>
      <c r="Q61" s="37">
        <f t="shared" si="0"/>
        <v>12</v>
      </c>
      <c r="R61" s="58">
        <v>6304990099</v>
      </c>
      <c r="S61" s="55">
        <v>0.12</v>
      </c>
      <c r="T61" s="54" t="s">
        <v>495</v>
      </c>
      <c r="U61" s="54">
        <v>14.98</v>
      </c>
      <c r="V61" s="54">
        <v>0.54</v>
      </c>
      <c r="W61" s="25" t="s">
        <v>127</v>
      </c>
    </row>
    <row r="62" spans="1:23" s="3" customFormat="1" ht="18" customHeight="1">
      <c r="A62" s="15">
        <v>60</v>
      </c>
      <c r="B62" s="25" t="s">
        <v>170</v>
      </c>
      <c r="C62" s="26" t="s">
        <v>124</v>
      </c>
      <c r="D62" s="16" t="s">
        <v>493</v>
      </c>
      <c r="E62" s="18" t="s">
        <v>125</v>
      </c>
      <c r="F62" s="19" t="s">
        <v>41</v>
      </c>
      <c r="G62" s="27" t="s">
        <v>518</v>
      </c>
      <c r="H62" s="19" t="s">
        <v>41</v>
      </c>
      <c r="I62" s="44" t="s">
        <v>484</v>
      </c>
      <c r="J62" s="25">
        <v>22</v>
      </c>
      <c r="K62" s="25">
        <v>13.38</v>
      </c>
      <c r="L62" s="25">
        <v>13.38</v>
      </c>
      <c r="M62" s="25">
        <v>13.38</v>
      </c>
      <c r="N62" s="25">
        <v>13.38</v>
      </c>
      <c r="O62" s="26">
        <v>1</v>
      </c>
      <c r="P62" s="37">
        <v>0.8</v>
      </c>
      <c r="Q62" s="37">
        <f t="shared" si="0"/>
        <v>17.600000000000001</v>
      </c>
      <c r="R62" s="58">
        <v>6304990099</v>
      </c>
      <c r="S62" s="55">
        <v>0.12</v>
      </c>
      <c r="T62" s="54" t="s">
        <v>495</v>
      </c>
      <c r="U62" s="54">
        <v>14.98</v>
      </c>
      <c r="V62" s="54">
        <v>0.54</v>
      </c>
      <c r="W62" s="25" t="s">
        <v>127</v>
      </c>
    </row>
    <row r="63" spans="1:23" s="3" customFormat="1" ht="18" customHeight="1">
      <c r="A63" s="15">
        <v>61</v>
      </c>
      <c r="B63" s="25" t="s">
        <v>172</v>
      </c>
      <c r="C63" s="26" t="s">
        <v>124</v>
      </c>
      <c r="D63" s="16" t="s">
        <v>493</v>
      </c>
      <c r="E63" s="22" t="s">
        <v>125</v>
      </c>
      <c r="F63" s="19" t="s">
        <v>41</v>
      </c>
      <c r="G63" s="27" t="s">
        <v>518</v>
      </c>
      <c r="H63" s="19" t="s">
        <v>41</v>
      </c>
      <c r="I63" s="44" t="s">
        <v>484</v>
      </c>
      <c r="J63" s="25">
        <v>22</v>
      </c>
      <c r="K63" s="25">
        <v>13.38</v>
      </c>
      <c r="L63" s="25">
        <v>13.38</v>
      </c>
      <c r="M63" s="25">
        <v>13.38</v>
      </c>
      <c r="N63" s="25">
        <v>13.38</v>
      </c>
      <c r="O63" s="26">
        <v>1</v>
      </c>
      <c r="P63" s="37">
        <v>0.8</v>
      </c>
      <c r="Q63" s="37">
        <f t="shared" si="0"/>
        <v>17.600000000000001</v>
      </c>
      <c r="R63" s="58">
        <v>6304990099</v>
      </c>
      <c r="S63" s="55">
        <v>0.12</v>
      </c>
      <c r="T63" s="54" t="s">
        <v>495</v>
      </c>
      <c r="U63" s="54">
        <v>14.98</v>
      </c>
      <c r="V63" s="54">
        <v>0.54</v>
      </c>
      <c r="W63" s="25" t="s">
        <v>127</v>
      </c>
    </row>
    <row r="64" spans="1:23" s="3" customFormat="1" ht="18" customHeight="1">
      <c r="A64" s="15">
        <v>62</v>
      </c>
      <c r="B64" s="340" t="s">
        <v>173</v>
      </c>
      <c r="C64" s="26" t="s">
        <v>174</v>
      </c>
      <c r="D64" s="28" t="s">
        <v>482</v>
      </c>
      <c r="E64" s="29" t="s">
        <v>483</v>
      </c>
      <c r="F64" s="19" t="s">
        <v>41</v>
      </c>
      <c r="G64" s="27" t="s">
        <v>487</v>
      </c>
      <c r="H64" s="19" t="s">
        <v>41</v>
      </c>
      <c r="I64" s="44" t="s">
        <v>484</v>
      </c>
      <c r="J64" s="25">
        <v>30</v>
      </c>
      <c r="K64" s="25">
        <v>2.7</v>
      </c>
      <c r="L64" s="25">
        <v>2.7</v>
      </c>
      <c r="M64" s="25">
        <v>2.7</v>
      </c>
      <c r="N64" s="25">
        <v>2.7</v>
      </c>
      <c r="O64" s="339">
        <v>1</v>
      </c>
      <c r="P64" s="37">
        <v>0.8</v>
      </c>
      <c r="Q64" s="37">
        <f t="shared" si="0"/>
        <v>24</v>
      </c>
      <c r="R64" s="58">
        <v>9021109000</v>
      </c>
      <c r="S64" s="55">
        <v>0</v>
      </c>
      <c r="T64" s="62" t="s">
        <v>519</v>
      </c>
      <c r="U64" s="62">
        <v>8.99</v>
      </c>
      <c r="V64" s="62">
        <v>0.04</v>
      </c>
      <c r="W64" s="63" t="s">
        <v>176</v>
      </c>
    </row>
    <row r="65" spans="1:23" s="3" customFormat="1" ht="18" customHeight="1">
      <c r="A65" s="15">
        <v>63</v>
      </c>
      <c r="B65" s="340"/>
      <c r="C65" s="26" t="s">
        <v>177</v>
      </c>
      <c r="D65" s="65" t="s">
        <v>520</v>
      </c>
      <c r="E65" s="66" t="s">
        <v>521</v>
      </c>
      <c r="F65" s="19" t="s">
        <v>41</v>
      </c>
      <c r="G65" s="27" t="s">
        <v>475</v>
      </c>
      <c r="H65" s="19" t="s">
        <v>41</v>
      </c>
      <c r="I65" s="44" t="s">
        <v>472</v>
      </c>
      <c r="J65" s="25">
        <v>2</v>
      </c>
      <c r="K65" s="25">
        <v>1.8</v>
      </c>
      <c r="L65" s="25">
        <v>1.8</v>
      </c>
      <c r="M65" s="25">
        <v>1.8</v>
      </c>
      <c r="N65" s="25">
        <v>1.8</v>
      </c>
      <c r="O65" s="339"/>
      <c r="P65" s="37">
        <v>0.8</v>
      </c>
      <c r="Q65" s="37">
        <f t="shared" si="0"/>
        <v>1.6</v>
      </c>
      <c r="R65" s="58">
        <v>3926909790</v>
      </c>
      <c r="S65" s="55">
        <v>6.5000000000000002E-2</v>
      </c>
      <c r="T65" s="62" t="s">
        <v>522</v>
      </c>
      <c r="U65" s="62">
        <v>21.99</v>
      </c>
      <c r="V65" s="62">
        <v>0.15</v>
      </c>
      <c r="W65" s="63" t="s">
        <v>179</v>
      </c>
    </row>
    <row r="66" spans="1:23" s="3" customFormat="1" ht="18" customHeight="1">
      <c r="A66" s="15">
        <v>64</v>
      </c>
      <c r="B66" s="340"/>
      <c r="C66" s="26" t="s">
        <v>180</v>
      </c>
      <c r="D66" s="67" t="s">
        <v>523</v>
      </c>
      <c r="E66" s="22" t="s">
        <v>181</v>
      </c>
      <c r="F66" s="19" t="s">
        <v>41</v>
      </c>
      <c r="G66" s="27" t="s">
        <v>524</v>
      </c>
      <c r="H66" s="19" t="s">
        <v>41</v>
      </c>
      <c r="I66" s="44" t="s">
        <v>484</v>
      </c>
      <c r="J66" s="25">
        <v>30</v>
      </c>
      <c r="K66" s="25">
        <v>4.5</v>
      </c>
      <c r="L66" s="25">
        <v>4.5</v>
      </c>
      <c r="M66" s="25">
        <v>4.5</v>
      </c>
      <c r="N66" s="25">
        <v>4.5</v>
      </c>
      <c r="O66" s="339"/>
      <c r="P66" s="37">
        <v>0.8</v>
      </c>
      <c r="Q66" s="37">
        <f t="shared" si="0"/>
        <v>24</v>
      </c>
      <c r="R66" s="58">
        <v>9021109000</v>
      </c>
      <c r="S66" s="55">
        <v>0</v>
      </c>
      <c r="T66" s="62" t="s">
        <v>525</v>
      </c>
      <c r="U66" s="62">
        <v>12.99</v>
      </c>
      <c r="V66" s="62">
        <v>0.1</v>
      </c>
      <c r="W66" s="63" t="s">
        <v>183</v>
      </c>
    </row>
    <row r="67" spans="1:23" s="3" customFormat="1" ht="18" customHeight="1">
      <c r="A67" s="15">
        <v>65</v>
      </c>
      <c r="B67" s="25" t="s">
        <v>184</v>
      </c>
      <c r="C67" s="26" t="s">
        <v>177</v>
      </c>
      <c r="D67" s="65" t="s">
        <v>520</v>
      </c>
      <c r="E67" s="66" t="s">
        <v>521</v>
      </c>
      <c r="F67" s="19" t="s">
        <v>41</v>
      </c>
      <c r="G67" s="27" t="s">
        <v>475</v>
      </c>
      <c r="H67" s="19" t="s">
        <v>41</v>
      </c>
      <c r="I67" s="44" t="s">
        <v>472</v>
      </c>
      <c r="J67" s="25">
        <v>28</v>
      </c>
      <c r="K67" s="25">
        <v>5.7</v>
      </c>
      <c r="L67" s="25">
        <v>5.7</v>
      </c>
      <c r="M67" s="25">
        <v>5.7</v>
      </c>
      <c r="N67" s="25">
        <v>5.7</v>
      </c>
      <c r="O67" s="26">
        <v>1</v>
      </c>
      <c r="P67" s="37">
        <v>0.8</v>
      </c>
      <c r="Q67" s="37">
        <f t="shared" ref="Q67:Q130" si="1">P67*J67</f>
        <v>22.400000000000002</v>
      </c>
      <c r="R67" s="58">
        <v>3926909790</v>
      </c>
      <c r="S67" s="55">
        <v>6.5000000000000002E-2</v>
      </c>
      <c r="T67" s="62" t="s">
        <v>522</v>
      </c>
      <c r="U67" s="62">
        <v>21.99</v>
      </c>
      <c r="V67" s="62">
        <v>0.15</v>
      </c>
      <c r="W67" s="25" t="s">
        <v>179</v>
      </c>
    </row>
    <row r="68" spans="1:23" s="3" customFormat="1" ht="18" customHeight="1">
      <c r="A68" s="15">
        <v>66</v>
      </c>
      <c r="B68" s="340" t="s">
        <v>185</v>
      </c>
      <c r="C68" s="26" t="s">
        <v>124</v>
      </c>
      <c r="D68" s="16" t="s">
        <v>493</v>
      </c>
      <c r="E68" s="22" t="s">
        <v>125</v>
      </c>
      <c r="F68" s="19" t="s">
        <v>41</v>
      </c>
      <c r="G68" s="27" t="s">
        <v>518</v>
      </c>
      <c r="H68" s="19" t="s">
        <v>41</v>
      </c>
      <c r="I68" s="44" t="s">
        <v>484</v>
      </c>
      <c r="J68" s="25">
        <v>8</v>
      </c>
      <c r="K68" s="25">
        <v>5.82</v>
      </c>
      <c r="L68" s="25">
        <v>5.82</v>
      </c>
      <c r="M68" s="25">
        <v>5.82</v>
      </c>
      <c r="N68" s="25">
        <v>5.82</v>
      </c>
      <c r="O68" s="339">
        <v>1</v>
      </c>
      <c r="P68" s="37">
        <v>0.8</v>
      </c>
      <c r="Q68" s="37">
        <f t="shared" si="1"/>
        <v>6.4</v>
      </c>
      <c r="R68" s="58">
        <v>6304990099</v>
      </c>
      <c r="S68" s="55">
        <v>0.12</v>
      </c>
      <c r="T68" s="54" t="s">
        <v>495</v>
      </c>
      <c r="U68" s="54">
        <v>14.98</v>
      </c>
      <c r="V68" s="54">
        <v>0.54</v>
      </c>
      <c r="W68" s="25" t="s">
        <v>127</v>
      </c>
    </row>
    <row r="69" spans="1:23" s="3" customFormat="1" ht="18" customHeight="1">
      <c r="A69" s="15">
        <v>67</v>
      </c>
      <c r="B69" s="340"/>
      <c r="C69" s="26" t="s">
        <v>186</v>
      </c>
      <c r="D69" s="16" t="s">
        <v>526</v>
      </c>
      <c r="E69" s="22" t="s">
        <v>187</v>
      </c>
      <c r="F69" s="19" t="s">
        <v>41</v>
      </c>
      <c r="G69" s="27" t="s">
        <v>527</v>
      </c>
      <c r="H69" s="19" t="s">
        <v>41</v>
      </c>
      <c r="I69" s="44" t="s">
        <v>528</v>
      </c>
      <c r="J69" s="25">
        <v>30</v>
      </c>
      <c r="K69" s="25">
        <v>4.5</v>
      </c>
      <c r="L69" s="25">
        <v>4.5</v>
      </c>
      <c r="M69" s="25">
        <v>4.5</v>
      </c>
      <c r="N69" s="25">
        <v>4.5</v>
      </c>
      <c r="O69" s="339"/>
      <c r="P69" s="37">
        <v>0.8</v>
      </c>
      <c r="Q69" s="37">
        <f t="shared" si="1"/>
        <v>24</v>
      </c>
      <c r="R69" s="58">
        <v>6307909899</v>
      </c>
      <c r="S69" s="55">
        <v>6.3E-2</v>
      </c>
      <c r="T69" s="62" t="s">
        <v>529</v>
      </c>
      <c r="U69" s="62">
        <v>5.67</v>
      </c>
      <c r="V69" s="62">
        <v>0.1</v>
      </c>
      <c r="W69" s="88" t="s">
        <v>190</v>
      </c>
    </row>
    <row r="70" spans="1:23" s="3" customFormat="1" ht="18" customHeight="1">
      <c r="A70" s="15">
        <v>68</v>
      </c>
      <c r="B70" s="340"/>
      <c r="C70" s="26" t="s">
        <v>151</v>
      </c>
      <c r="D70" s="16" t="s">
        <v>508</v>
      </c>
      <c r="E70" s="22" t="s">
        <v>152</v>
      </c>
      <c r="F70" s="19" t="s">
        <v>41</v>
      </c>
      <c r="G70" s="27" t="s">
        <v>515</v>
      </c>
      <c r="H70" s="19" t="s">
        <v>41</v>
      </c>
      <c r="I70" s="44" t="s">
        <v>484</v>
      </c>
      <c r="J70" s="25">
        <v>30</v>
      </c>
      <c r="K70" s="25">
        <v>6</v>
      </c>
      <c r="L70" s="25">
        <v>6</v>
      </c>
      <c r="M70" s="25">
        <v>6</v>
      </c>
      <c r="N70" s="25">
        <v>6</v>
      </c>
      <c r="O70" s="339"/>
      <c r="P70" s="37">
        <v>0.8</v>
      </c>
      <c r="Q70" s="37">
        <f t="shared" si="1"/>
        <v>24</v>
      </c>
      <c r="R70" s="58">
        <v>9021109000</v>
      </c>
      <c r="S70" s="55">
        <v>0</v>
      </c>
      <c r="T70" s="62" t="s">
        <v>509</v>
      </c>
      <c r="U70" s="62">
        <v>13.66</v>
      </c>
      <c r="V70" s="62">
        <v>0.15</v>
      </c>
      <c r="W70" s="25" t="s">
        <v>191</v>
      </c>
    </row>
    <row r="71" spans="1:23" s="3" customFormat="1" ht="18" customHeight="1">
      <c r="A71" s="15">
        <v>69</v>
      </c>
      <c r="B71" s="25" t="s">
        <v>192</v>
      </c>
      <c r="C71" s="26" t="s">
        <v>124</v>
      </c>
      <c r="D71" s="16" t="s">
        <v>493</v>
      </c>
      <c r="E71" s="22" t="s">
        <v>125</v>
      </c>
      <c r="F71" s="19" t="s">
        <v>41</v>
      </c>
      <c r="G71" s="27" t="s">
        <v>518</v>
      </c>
      <c r="H71" s="19" t="s">
        <v>41</v>
      </c>
      <c r="I71" s="44" t="s">
        <v>484</v>
      </c>
      <c r="J71" s="25">
        <v>15</v>
      </c>
      <c r="K71" s="25">
        <v>14.4</v>
      </c>
      <c r="L71" s="25">
        <v>14.4</v>
      </c>
      <c r="M71" s="25">
        <v>14.4</v>
      </c>
      <c r="N71" s="25">
        <v>14.4</v>
      </c>
      <c r="O71" s="26">
        <v>1</v>
      </c>
      <c r="P71" s="37">
        <v>0.8</v>
      </c>
      <c r="Q71" s="37">
        <f t="shared" si="1"/>
        <v>12</v>
      </c>
      <c r="R71" s="58">
        <v>6304990099</v>
      </c>
      <c r="S71" s="55">
        <v>0.12</v>
      </c>
      <c r="T71" s="54" t="s">
        <v>530</v>
      </c>
      <c r="U71" s="54">
        <v>24.99</v>
      </c>
      <c r="V71" s="54">
        <v>0.86</v>
      </c>
      <c r="W71" s="64" t="s">
        <v>193</v>
      </c>
    </row>
    <row r="72" spans="1:23" s="3" customFormat="1" ht="18" customHeight="1">
      <c r="A72" s="15">
        <v>70</v>
      </c>
      <c r="B72" s="25" t="s">
        <v>194</v>
      </c>
      <c r="C72" s="26" t="s">
        <v>124</v>
      </c>
      <c r="D72" s="16" t="s">
        <v>493</v>
      </c>
      <c r="E72" s="22" t="s">
        <v>125</v>
      </c>
      <c r="F72" s="19" t="s">
        <v>41</v>
      </c>
      <c r="G72" s="27" t="s">
        <v>518</v>
      </c>
      <c r="H72" s="19" t="s">
        <v>41</v>
      </c>
      <c r="I72" s="44" t="s">
        <v>484</v>
      </c>
      <c r="J72" s="25">
        <v>15</v>
      </c>
      <c r="K72" s="25">
        <v>14.4</v>
      </c>
      <c r="L72" s="25">
        <v>14.4</v>
      </c>
      <c r="M72" s="25">
        <v>14.4</v>
      </c>
      <c r="N72" s="25">
        <v>14.4</v>
      </c>
      <c r="O72" s="26">
        <v>1</v>
      </c>
      <c r="P72" s="37">
        <v>0.8</v>
      </c>
      <c r="Q72" s="37">
        <f t="shared" si="1"/>
        <v>12</v>
      </c>
      <c r="R72" s="58">
        <v>6304990099</v>
      </c>
      <c r="S72" s="55">
        <v>0.12</v>
      </c>
      <c r="T72" s="54" t="s">
        <v>530</v>
      </c>
      <c r="U72" s="54">
        <v>24.99</v>
      </c>
      <c r="V72" s="54">
        <v>0.86</v>
      </c>
      <c r="W72" s="25" t="s">
        <v>193</v>
      </c>
    </row>
    <row r="73" spans="1:23" s="3" customFormat="1" ht="18" customHeight="1">
      <c r="A73" s="15">
        <v>71</v>
      </c>
      <c r="B73" s="340" t="s">
        <v>195</v>
      </c>
      <c r="C73" s="26" t="s">
        <v>124</v>
      </c>
      <c r="D73" s="16" t="s">
        <v>493</v>
      </c>
      <c r="E73" s="22" t="s">
        <v>125</v>
      </c>
      <c r="F73" s="19" t="s">
        <v>41</v>
      </c>
      <c r="G73" s="27" t="s">
        <v>518</v>
      </c>
      <c r="H73" s="19" t="s">
        <v>41</v>
      </c>
      <c r="I73" s="44" t="s">
        <v>484</v>
      </c>
      <c r="J73" s="25">
        <v>8</v>
      </c>
      <c r="K73" s="25">
        <v>5.82</v>
      </c>
      <c r="L73" s="25">
        <v>5.82</v>
      </c>
      <c r="M73" s="25">
        <v>5.82</v>
      </c>
      <c r="N73" s="25">
        <v>5.82</v>
      </c>
      <c r="O73" s="339">
        <v>1</v>
      </c>
      <c r="P73" s="37">
        <v>0.8</v>
      </c>
      <c r="Q73" s="37">
        <f t="shared" si="1"/>
        <v>6.4</v>
      </c>
      <c r="R73" s="58">
        <v>6304990099</v>
      </c>
      <c r="S73" s="55">
        <v>0.12</v>
      </c>
      <c r="T73" s="54" t="s">
        <v>495</v>
      </c>
      <c r="U73" s="54">
        <v>14.98</v>
      </c>
      <c r="V73" s="54">
        <v>0.54</v>
      </c>
      <c r="W73" s="25" t="s">
        <v>127</v>
      </c>
    </row>
    <row r="74" spans="1:23" s="3" customFormat="1" ht="18" customHeight="1">
      <c r="A74" s="15">
        <v>72</v>
      </c>
      <c r="B74" s="340"/>
      <c r="C74" s="26" t="s">
        <v>196</v>
      </c>
      <c r="D74" s="16" t="s">
        <v>531</v>
      </c>
      <c r="E74" s="22" t="s">
        <v>197</v>
      </c>
      <c r="F74" s="19" t="s">
        <v>41</v>
      </c>
      <c r="G74" s="25" t="s">
        <v>198</v>
      </c>
      <c r="H74" s="19" t="s">
        <v>41</v>
      </c>
      <c r="I74" s="44" t="s">
        <v>532</v>
      </c>
      <c r="J74" s="25">
        <v>30</v>
      </c>
      <c r="K74" s="25">
        <v>1.5</v>
      </c>
      <c r="L74" s="25">
        <v>1.5</v>
      </c>
      <c r="M74" s="25">
        <v>1.5</v>
      </c>
      <c r="N74" s="25">
        <v>1.5</v>
      </c>
      <c r="O74" s="339"/>
      <c r="P74" s="37">
        <v>0.8</v>
      </c>
      <c r="Q74" s="37">
        <f t="shared" si="1"/>
        <v>24</v>
      </c>
      <c r="R74" s="58">
        <v>8543709099</v>
      </c>
      <c r="S74" s="55">
        <v>3.6999999999999998E-2</v>
      </c>
      <c r="T74" s="62" t="s">
        <v>533</v>
      </c>
      <c r="U74" s="62"/>
      <c r="V74" s="62"/>
      <c r="W74" s="63" t="s">
        <v>200</v>
      </c>
    </row>
    <row r="75" spans="1:23" s="3" customFormat="1" ht="18" customHeight="1">
      <c r="A75" s="15">
        <v>73</v>
      </c>
      <c r="B75" s="340" t="s">
        <v>534</v>
      </c>
      <c r="C75" s="26" t="s">
        <v>202</v>
      </c>
      <c r="D75" s="16" t="s">
        <v>535</v>
      </c>
      <c r="E75" s="22" t="s">
        <v>203</v>
      </c>
      <c r="F75" s="19" t="s">
        <v>41</v>
      </c>
      <c r="G75" s="68" t="s">
        <v>536</v>
      </c>
      <c r="H75" s="19" t="s">
        <v>41</v>
      </c>
      <c r="I75" s="81" t="s">
        <v>472</v>
      </c>
      <c r="J75" s="26">
        <v>4</v>
      </c>
      <c r="K75" s="25">
        <v>6.42</v>
      </c>
      <c r="L75" s="25">
        <v>6.42</v>
      </c>
      <c r="M75" s="25">
        <v>6.42</v>
      </c>
      <c r="N75" s="25">
        <v>6.42</v>
      </c>
      <c r="O75" s="339">
        <v>1</v>
      </c>
      <c r="P75" s="37">
        <v>2.1</v>
      </c>
      <c r="Q75" s="37">
        <f t="shared" si="1"/>
        <v>8.4</v>
      </c>
      <c r="R75" s="58">
        <v>8714993000</v>
      </c>
      <c r="S75" s="55">
        <v>4.7E-2</v>
      </c>
      <c r="T75" s="89" t="s">
        <v>537</v>
      </c>
      <c r="U75" s="89">
        <v>39.99</v>
      </c>
      <c r="V75" s="89">
        <v>1.23</v>
      </c>
      <c r="W75" s="90" t="s">
        <v>205</v>
      </c>
    </row>
    <row r="76" spans="1:23" s="3" customFormat="1" ht="18" customHeight="1">
      <c r="A76" s="15">
        <v>74</v>
      </c>
      <c r="B76" s="340"/>
      <c r="C76" s="26" t="s">
        <v>206</v>
      </c>
      <c r="D76" s="16" t="s">
        <v>538</v>
      </c>
      <c r="E76" s="20" t="s">
        <v>539</v>
      </c>
      <c r="F76" s="19" t="s">
        <v>41</v>
      </c>
      <c r="G76" s="68" t="s">
        <v>540</v>
      </c>
      <c r="H76" s="19" t="s">
        <v>41</v>
      </c>
      <c r="I76" s="81" t="s">
        <v>541</v>
      </c>
      <c r="J76" s="26">
        <v>10</v>
      </c>
      <c r="K76" s="25">
        <v>4.7</v>
      </c>
      <c r="L76" s="25">
        <v>4.7</v>
      </c>
      <c r="M76" s="25">
        <v>4.7</v>
      </c>
      <c r="N76" s="25">
        <v>4.7</v>
      </c>
      <c r="O76" s="339"/>
      <c r="P76" s="37">
        <v>2.1</v>
      </c>
      <c r="Q76" s="37">
        <f t="shared" si="1"/>
        <v>21</v>
      </c>
      <c r="R76" s="58">
        <v>8714949090</v>
      </c>
      <c r="S76" s="55">
        <v>4.7E-2</v>
      </c>
      <c r="T76" s="91" t="s">
        <v>542</v>
      </c>
      <c r="U76" s="91">
        <v>19.989999999999998</v>
      </c>
      <c r="V76" s="91">
        <v>0.32</v>
      </c>
      <c r="W76" s="92" t="s">
        <v>210</v>
      </c>
    </row>
    <row r="77" spans="1:23" s="3" customFormat="1" ht="18" customHeight="1">
      <c r="A77" s="15">
        <v>75</v>
      </c>
      <c r="B77" s="340"/>
      <c r="C77" s="26" t="s">
        <v>206</v>
      </c>
      <c r="D77" s="16" t="s">
        <v>538</v>
      </c>
      <c r="E77" s="20" t="s">
        <v>539</v>
      </c>
      <c r="F77" s="19" t="s">
        <v>41</v>
      </c>
      <c r="G77" s="68" t="s">
        <v>543</v>
      </c>
      <c r="H77" s="19" t="s">
        <v>41</v>
      </c>
      <c r="I77" s="81" t="s">
        <v>544</v>
      </c>
      <c r="J77" s="26">
        <v>5</v>
      </c>
      <c r="K77" s="25">
        <v>3.1</v>
      </c>
      <c r="L77" s="25">
        <v>3.1</v>
      </c>
      <c r="M77" s="25">
        <v>3.1</v>
      </c>
      <c r="N77" s="25">
        <v>3.1</v>
      </c>
      <c r="O77" s="339"/>
      <c r="P77" s="37">
        <v>2.1</v>
      </c>
      <c r="Q77" s="37">
        <f t="shared" si="1"/>
        <v>10.5</v>
      </c>
      <c r="R77" s="58">
        <v>8714949090</v>
      </c>
      <c r="S77" s="55">
        <v>4.7E-2</v>
      </c>
      <c r="T77" s="91" t="s">
        <v>542</v>
      </c>
      <c r="U77" s="91">
        <v>19.989999999999998</v>
      </c>
      <c r="V77" s="91">
        <v>0.32</v>
      </c>
      <c r="W77" s="90" t="s">
        <v>213</v>
      </c>
    </row>
    <row r="78" spans="1:23" s="3" customFormat="1" ht="18" customHeight="1">
      <c r="A78" s="15">
        <v>76</v>
      </c>
      <c r="B78" s="340"/>
      <c r="C78" s="26" t="s">
        <v>214</v>
      </c>
      <c r="D78" s="16" t="s">
        <v>545</v>
      </c>
      <c r="E78" s="20" t="s">
        <v>215</v>
      </c>
      <c r="F78" s="19" t="s">
        <v>41</v>
      </c>
      <c r="G78" s="68" t="s">
        <v>543</v>
      </c>
      <c r="H78" s="19" t="s">
        <v>41</v>
      </c>
      <c r="I78" s="81" t="s">
        <v>546</v>
      </c>
      <c r="J78" s="26">
        <v>3</v>
      </c>
      <c r="K78" s="25">
        <v>1.86</v>
      </c>
      <c r="L78" s="25">
        <v>1.86</v>
      </c>
      <c r="M78" s="25">
        <v>1.86</v>
      </c>
      <c r="N78" s="25">
        <v>1.86</v>
      </c>
      <c r="O78" s="339"/>
      <c r="P78" s="37">
        <v>2.1</v>
      </c>
      <c r="Q78" s="37">
        <f t="shared" si="1"/>
        <v>6.3000000000000007</v>
      </c>
      <c r="R78" s="58">
        <v>8714999089</v>
      </c>
      <c r="S78" s="55">
        <v>4.7E-2</v>
      </c>
      <c r="T78" s="91" t="s">
        <v>547</v>
      </c>
      <c r="U78" s="91">
        <v>12.79</v>
      </c>
      <c r="V78" s="91">
        <v>0.12</v>
      </c>
      <c r="W78" s="92" t="s">
        <v>217</v>
      </c>
    </row>
    <row r="79" spans="1:23" s="3" customFormat="1" ht="18" customHeight="1">
      <c r="A79" s="15">
        <v>77</v>
      </c>
      <c r="B79" s="340" t="s">
        <v>548</v>
      </c>
      <c r="C79" s="69" t="s">
        <v>202</v>
      </c>
      <c r="D79" s="16" t="s">
        <v>535</v>
      </c>
      <c r="E79" s="20" t="s">
        <v>203</v>
      </c>
      <c r="F79" s="19" t="s">
        <v>41</v>
      </c>
      <c r="G79" s="70" t="s">
        <v>536</v>
      </c>
      <c r="H79" s="19" t="s">
        <v>41</v>
      </c>
      <c r="I79" s="82" t="s">
        <v>472</v>
      </c>
      <c r="J79" s="26">
        <v>4</v>
      </c>
      <c r="K79" s="25">
        <v>6.42</v>
      </c>
      <c r="L79" s="25">
        <v>6.42</v>
      </c>
      <c r="M79" s="25">
        <v>6.42</v>
      </c>
      <c r="N79" s="25">
        <v>6.42</v>
      </c>
      <c r="O79" s="339">
        <v>1</v>
      </c>
      <c r="P79" s="37">
        <v>2.1</v>
      </c>
      <c r="Q79" s="37">
        <f t="shared" si="1"/>
        <v>8.4</v>
      </c>
      <c r="R79" s="58">
        <v>8714993000</v>
      </c>
      <c r="S79" s="55">
        <v>4.7E-2</v>
      </c>
      <c r="T79" s="89" t="s">
        <v>537</v>
      </c>
      <c r="U79" s="89">
        <v>39.99</v>
      </c>
      <c r="V79" s="89">
        <v>1.23</v>
      </c>
      <c r="W79" s="92" t="s">
        <v>205</v>
      </c>
    </row>
    <row r="80" spans="1:23" s="3" customFormat="1" ht="18" customHeight="1">
      <c r="A80" s="15">
        <v>78</v>
      </c>
      <c r="B80" s="340"/>
      <c r="C80" s="69" t="s">
        <v>221</v>
      </c>
      <c r="D80" s="16" t="s">
        <v>549</v>
      </c>
      <c r="E80" s="20" t="s">
        <v>222</v>
      </c>
      <c r="F80" s="19" t="s">
        <v>41</v>
      </c>
      <c r="G80" s="70" t="s">
        <v>536</v>
      </c>
      <c r="H80" s="19" t="s">
        <v>41</v>
      </c>
      <c r="I80" s="82" t="s">
        <v>472</v>
      </c>
      <c r="J80" s="26">
        <v>5</v>
      </c>
      <c r="K80" s="25">
        <v>3.65</v>
      </c>
      <c r="L80" s="25">
        <v>3.65</v>
      </c>
      <c r="M80" s="25">
        <v>3.65</v>
      </c>
      <c r="N80" s="25">
        <v>3.65</v>
      </c>
      <c r="O80" s="339"/>
      <c r="P80" s="37">
        <v>2.1</v>
      </c>
      <c r="Q80" s="37">
        <f t="shared" si="1"/>
        <v>10.5</v>
      </c>
      <c r="R80" s="58" t="s">
        <v>550</v>
      </c>
      <c r="S80" s="55">
        <v>1.7000000000000001E-2</v>
      </c>
      <c r="T80" s="89" t="s">
        <v>551</v>
      </c>
      <c r="U80" s="89">
        <v>14.99</v>
      </c>
      <c r="V80" s="89">
        <v>0.43</v>
      </c>
      <c r="W80" s="92" t="s">
        <v>223</v>
      </c>
    </row>
    <row r="81" spans="1:23" s="3" customFormat="1" ht="18" customHeight="1">
      <c r="A81" s="15">
        <v>79</v>
      </c>
      <c r="B81" s="340"/>
      <c r="C81" s="69" t="s">
        <v>224</v>
      </c>
      <c r="D81" s="16" t="s">
        <v>552</v>
      </c>
      <c r="E81" s="20" t="s">
        <v>225</v>
      </c>
      <c r="F81" s="19" t="s">
        <v>41</v>
      </c>
      <c r="G81" s="70" t="s">
        <v>553</v>
      </c>
      <c r="H81" s="19" t="s">
        <v>41</v>
      </c>
      <c r="I81" s="82" t="s">
        <v>554</v>
      </c>
      <c r="J81" s="26">
        <v>5</v>
      </c>
      <c r="K81" s="25">
        <v>3.1</v>
      </c>
      <c r="L81" s="25">
        <v>3.1</v>
      </c>
      <c r="M81" s="25">
        <v>3.1</v>
      </c>
      <c r="N81" s="25">
        <v>3.1</v>
      </c>
      <c r="O81" s="339"/>
      <c r="P81" s="37">
        <v>2.1</v>
      </c>
      <c r="Q81" s="37">
        <f t="shared" si="1"/>
        <v>10.5</v>
      </c>
      <c r="R81" s="58">
        <v>8708999790</v>
      </c>
      <c r="S81" s="55">
        <v>3.6999999999999998E-2</v>
      </c>
      <c r="T81" s="89" t="s">
        <v>555</v>
      </c>
      <c r="U81" s="89">
        <v>23.99</v>
      </c>
      <c r="V81" s="89">
        <v>0.32</v>
      </c>
      <c r="W81" s="92" t="s">
        <v>228</v>
      </c>
    </row>
    <row r="82" spans="1:23" s="3" customFormat="1" ht="18" customHeight="1">
      <c r="A82" s="15">
        <v>80</v>
      </c>
      <c r="B82" s="340"/>
      <c r="C82" s="69" t="s">
        <v>229</v>
      </c>
      <c r="D82" s="16" t="s">
        <v>556</v>
      </c>
      <c r="E82" s="22" t="s">
        <v>230</v>
      </c>
      <c r="F82" s="19" t="s">
        <v>41</v>
      </c>
      <c r="G82" s="70" t="s">
        <v>557</v>
      </c>
      <c r="H82" s="19" t="s">
        <v>41</v>
      </c>
      <c r="I82" s="82" t="s">
        <v>558</v>
      </c>
      <c r="J82" s="26">
        <v>5</v>
      </c>
      <c r="K82" s="25">
        <v>1.75</v>
      </c>
      <c r="L82" s="25">
        <v>1.75</v>
      </c>
      <c r="M82" s="25">
        <v>1.75</v>
      </c>
      <c r="N82" s="25">
        <v>1.75</v>
      </c>
      <c r="O82" s="339"/>
      <c r="P82" s="37">
        <v>2.1</v>
      </c>
      <c r="Q82" s="37">
        <f t="shared" si="1"/>
        <v>10.5</v>
      </c>
      <c r="R82" s="58" t="s">
        <v>559</v>
      </c>
      <c r="S82" s="55">
        <v>3.5000000000000003E-2</v>
      </c>
      <c r="T82" s="89" t="s">
        <v>560</v>
      </c>
      <c r="U82" s="89"/>
      <c r="V82" s="89">
        <v>0.05</v>
      </c>
      <c r="W82" s="92" t="s">
        <v>233</v>
      </c>
    </row>
    <row r="83" spans="1:23" s="3" customFormat="1" ht="18" customHeight="1">
      <c r="A83" s="15">
        <v>81</v>
      </c>
      <c r="B83" s="340"/>
      <c r="C83" s="69" t="s">
        <v>214</v>
      </c>
      <c r="D83" s="16" t="s">
        <v>545</v>
      </c>
      <c r="E83" s="22" t="s">
        <v>215</v>
      </c>
      <c r="F83" s="19" t="s">
        <v>41</v>
      </c>
      <c r="G83" s="70" t="s">
        <v>543</v>
      </c>
      <c r="H83" s="19" t="s">
        <v>41</v>
      </c>
      <c r="I83" s="82" t="s">
        <v>546</v>
      </c>
      <c r="J83" s="26">
        <v>2</v>
      </c>
      <c r="K83" s="25">
        <v>1.74</v>
      </c>
      <c r="L83" s="25">
        <v>1.74</v>
      </c>
      <c r="M83" s="25">
        <v>1.74</v>
      </c>
      <c r="N83" s="25">
        <v>1.74</v>
      </c>
      <c r="O83" s="339"/>
      <c r="P83" s="37">
        <v>2.1</v>
      </c>
      <c r="Q83" s="37">
        <f t="shared" si="1"/>
        <v>4.2</v>
      </c>
      <c r="R83" s="58">
        <v>8714999089</v>
      </c>
      <c r="S83" s="55">
        <v>4.7E-2</v>
      </c>
      <c r="T83" s="91" t="s">
        <v>547</v>
      </c>
      <c r="U83" s="91">
        <v>12.79</v>
      </c>
      <c r="V83" s="91">
        <v>0.12</v>
      </c>
      <c r="W83" s="90" t="s">
        <v>217</v>
      </c>
    </row>
    <row r="84" spans="1:23" s="3" customFormat="1" ht="18" customHeight="1">
      <c r="A84" s="15">
        <v>82</v>
      </c>
      <c r="B84" s="340"/>
      <c r="C84" s="69" t="s">
        <v>236</v>
      </c>
      <c r="D84" s="16" t="s">
        <v>561</v>
      </c>
      <c r="E84" s="22" t="s">
        <v>562</v>
      </c>
      <c r="F84" s="19" t="s">
        <v>41</v>
      </c>
      <c r="G84" s="70" t="s">
        <v>543</v>
      </c>
      <c r="H84" s="19" t="s">
        <v>41</v>
      </c>
      <c r="I84" s="82" t="s">
        <v>472</v>
      </c>
      <c r="J84" s="26">
        <v>5</v>
      </c>
      <c r="K84" s="25">
        <v>6.5</v>
      </c>
      <c r="L84" s="25">
        <v>6.5</v>
      </c>
      <c r="M84" s="25">
        <v>6.5</v>
      </c>
      <c r="N84" s="25">
        <v>6.5</v>
      </c>
      <c r="O84" s="339"/>
      <c r="P84" s="37">
        <v>2.1</v>
      </c>
      <c r="Q84" s="37">
        <f t="shared" si="1"/>
        <v>10.5</v>
      </c>
      <c r="R84" s="58">
        <v>8714949090</v>
      </c>
      <c r="S84" s="55">
        <v>4.7E-2</v>
      </c>
      <c r="T84" s="93" t="s">
        <v>563</v>
      </c>
      <c r="U84" s="93">
        <v>34.39</v>
      </c>
      <c r="V84" s="89">
        <v>1</v>
      </c>
      <c r="W84" s="92" t="s">
        <v>238</v>
      </c>
    </row>
    <row r="85" spans="1:23" s="3" customFormat="1" ht="18" customHeight="1">
      <c r="A85" s="15">
        <v>83</v>
      </c>
      <c r="B85" s="340" t="s">
        <v>564</v>
      </c>
      <c r="C85" s="26" t="s">
        <v>240</v>
      </c>
      <c r="D85" s="16" t="s">
        <v>565</v>
      </c>
      <c r="E85" s="22" t="s">
        <v>241</v>
      </c>
      <c r="F85" s="19" t="s">
        <v>41</v>
      </c>
      <c r="G85" s="68" t="s">
        <v>566</v>
      </c>
      <c r="H85" s="19" t="s">
        <v>41</v>
      </c>
      <c r="I85" s="81" t="s">
        <v>472</v>
      </c>
      <c r="J85" s="26">
        <v>12</v>
      </c>
      <c r="K85" s="25">
        <v>10.5</v>
      </c>
      <c r="L85" s="25">
        <v>10.5</v>
      </c>
      <c r="M85" s="25">
        <v>10.5</v>
      </c>
      <c r="N85" s="25">
        <v>10.5</v>
      </c>
      <c r="O85" s="340">
        <v>1</v>
      </c>
      <c r="P85" s="37">
        <v>2.2000000000000002</v>
      </c>
      <c r="Q85" s="37">
        <f t="shared" si="1"/>
        <v>26.400000000000002</v>
      </c>
      <c r="R85" s="58">
        <v>8539500000</v>
      </c>
      <c r="S85" s="55">
        <v>3.6999999999999998E-2</v>
      </c>
      <c r="T85" s="94" t="s">
        <v>567</v>
      </c>
      <c r="U85" s="94">
        <v>27.99</v>
      </c>
      <c r="V85" s="95">
        <v>0.75</v>
      </c>
      <c r="W85" s="92" t="s">
        <v>243</v>
      </c>
    </row>
    <row r="86" spans="1:23" s="3" customFormat="1" ht="18" customHeight="1">
      <c r="A86" s="15">
        <v>84</v>
      </c>
      <c r="B86" s="340"/>
      <c r="C86" s="26" t="s">
        <v>244</v>
      </c>
      <c r="D86" s="16" t="s">
        <v>568</v>
      </c>
      <c r="E86" s="22" t="s">
        <v>245</v>
      </c>
      <c r="F86" s="19" t="s">
        <v>41</v>
      </c>
      <c r="G86" s="68" t="s">
        <v>499</v>
      </c>
      <c r="H86" s="19" t="s">
        <v>41</v>
      </c>
      <c r="I86" s="81" t="s">
        <v>472</v>
      </c>
      <c r="J86" s="26">
        <v>5</v>
      </c>
      <c r="K86" s="25">
        <v>2</v>
      </c>
      <c r="L86" s="25">
        <v>2</v>
      </c>
      <c r="M86" s="25">
        <v>2</v>
      </c>
      <c r="N86" s="25">
        <v>2</v>
      </c>
      <c r="O86" s="340"/>
      <c r="P86" s="37">
        <v>2.2000000000000002</v>
      </c>
      <c r="Q86" s="37">
        <f t="shared" si="1"/>
        <v>11</v>
      </c>
      <c r="R86" s="58">
        <v>7616999099</v>
      </c>
      <c r="S86" s="55">
        <v>0.06</v>
      </c>
      <c r="T86" s="94" t="s">
        <v>569</v>
      </c>
      <c r="U86" s="94">
        <v>19.34</v>
      </c>
      <c r="V86" s="95">
        <v>0.1</v>
      </c>
      <c r="W86" s="92" t="s">
        <v>246</v>
      </c>
    </row>
    <row r="87" spans="1:23" s="3" customFormat="1" ht="18" customHeight="1">
      <c r="A87" s="15">
        <v>85</v>
      </c>
      <c r="B87" s="340"/>
      <c r="C87" s="26" t="s">
        <v>247</v>
      </c>
      <c r="D87" s="71" t="s">
        <v>570</v>
      </c>
      <c r="E87" s="72" t="s">
        <v>571</v>
      </c>
      <c r="F87" s="19" t="s">
        <v>41</v>
      </c>
      <c r="G87" s="68" t="s">
        <v>572</v>
      </c>
      <c r="H87" s="19" t="s">
        <v>41</v>
      </c>
      <c r="I87" s="81" t="s">
        <v>573</v>
      </c>
      <c r="J87" s="26">
        <v>22</v>
      </c>
      <c r="K87" s="25">
        <v>5.9</v>
      </c>
      <c r="L87" s="25">
        <v>5.9</v>
      </c>
      <c r="M87" s="25">
        <v>5.9</v>
      </c>
      <c r="N87" s="25">
        <v>5.9</v>
      </c>
      <c r="O87" s="340"/>
      <c r="P87" s="37">
        <v>2.2000000000000002</v>
      </c>
      <c r="Q87" s="37">
        <f t="shared" si="1"/>
        <v>48.400000000000006</v>
      </c>
      <c r="R87" s="58">
        <v>8708299090</v>
      </c>
      <c r="S87" s="55">
        <v>4.4999999999999998E-2</v>
      </c>
      <c r="T87" s="94" t="s">
        <v>574</v>
      </c>
      <c r="U87" s="94">
        <v>8.99</v>
      </c>
      <c r="V87" s="95">
        <v>0.2</v>
      </c>
      <c r="W87" s="92" t="s">
        <v>251</v>
      </c>
    </row>
    <row r="88" spans="1:23" s="3" customFormat="1" ht="18" customHeight="1">
      <c r="A88" s="15">
        <v>86</v>
      </c>
      <c r="B88" s="340"/>
      <c r="C88" s="26" t="s">
        <v>252</v>
      </c>
      <c r="D88" s="16" t="s">
        <v>538</v>
      </c>
      <c r="E88" s="22" t="s">
        <v>253</v>
      </c>
      <c r="F88" s="19" t="s">
        <v>41</v>
      </c>
      <c r="G88" s="68" t="s">
        <v>543</v>
      </c>
      <c r="H88" s="19" t="s">
        <v>41</v>
      </c>
      <c r="I88" s="81" t="s">
        <v>575</v>
      </c>
      <c r="J88" s="26">
        <v>10</v>
      </c>
      <c r="K88" s="25">
        <v>8.1</v>
      </c>
      <c r="L88" s="25">
        <v>8.1</v>
      </c>
      <c r="M88" s="25">
        <v>8.1</v>
      </c>
      <c r="N88" s="25">
        <v>8.1</v>
      </c>
      <c r="O88" s="340"/>
      <c r="P88" s="37">
        <v>2.2000000000000002</v>
      </c>
      <c r="Q88" s="37">
        <f t="shared" si="1"/>
        <v>22</v>
      </c>
      <c r="R88" s="58">
        <v>8714949090</v>
      </c>
      <c r="S88" s="55">
        <v>4.7E-2</v>
      </c>
      <c r="T88" s="94" t="s">
        <v>576</v>
      </c>
      <c r="U88" s="94">
        <v>28.45</v>
      </c>
      <c r="V88" s="95">
        <v>0.66</v>
      </c>
      <c r="W88" s="92" t="s">
        <v>255</v>
      </c>
    </row>
    <row r="89" spans="1:23" s="3" customFormat="1" ht="18" customHeight="1">
      <c r="A89" s="15">
        <v>87</v>
      </c>
      <c r="B89" s="340"/>
      <c r="C89" s="69" t="s">
        <v>256</v>
      </c>
      <c r="D89" s="71" t="s">
        <v>570</v>
      </c>
      <c r="E89" s="72" t="s">
        <v>571</v>
      </c>
      <c r="F89" s="19" t="s">
        <v>41</v>
      </c>
      <c r="G89" s="69" t="s">
        <v>258</v>
      </c>
      <c r="H89" s="19" t="s">
        <v>41</v>
      </c>
      <c r="I89" s="83" t="s">
        <v>577</v>
      </c>
      <c r="J89" s="26">
        <v>3</v>
      </c>
      <c r="K89" s="25">
        <v>2.1</v>
      </c>
      <c r="L89" s="25">
        <v>2.1</v>
      </c>
      <c r="M89" s="25">
        <v>2.1</v>
      </c>
      <c r="N89" s="25">
        <v>2.1</v>
      </c>
      <c r="O89" s="340"/>
      <c r="P89" s="37">
        <v>2.2000000000000002</v>
      </c>
      <c r="Q89" s="37">
        <f t="shared" si="1"/>
        <v>6.6000000000000005</v>
      </c>
      <c r="R89" s="58">
        <v>8708299090</v>
      </c>
      <c r="S89" s="55">
        <v>4.4999999999999998E-2</v>
      </c>
      <c r="T89" s="94" t="s">
        <v>578</v>
      </c>
      <c r="U89" s="94">
        <v>8.99</v>
      </c>
      <c r="V89" s="95">
        <v>0.2</v>
      </c>
      <c r="W89" s="92" t="s">
        <v>260</v>
      </c>
    </row>
    <row r="90" spans="1:23" s="3" customFormat="1" ht="18" customHeight="1">
      <c r="A90" s="15">
        <v>88</v>
      </c>
      <c r="B90" s="340" t="s">
        <v>579</v>
      </c>
      <c r="C90" s="26" t="s">
        <v>262</v>
      </c>
      <c r="D90" s="16" t="s">
        <v>580</v>
      </c>
      <c r="E90" s="22" t="s">
        <v>263</v>
      </c>
      <c r="F90" s="19" t="s">
        <v>41</v>
      </c>
      <c r="G90" s="68" t="s">
        <v>499</v>
      </c>
      <c r="H90" s="19" t="s">
        <v>41</v>
      </c>
      <c r="I90" s="84" t="s">
        <v>581</v>
      </c>
      <c r="J90" s="26">
        <v>5</v>
      </c>
      <c r="K90" s="25">
        <v>2.85</v>
      </c>
      <c r="L90" s="25">
        <v>2.85</v>
      </c>
      <c r="M90" s="25">
        <v>2.85</v>
      </c>
      <c r="N90" s="25">
        <v>2.85</v>
      </c>
      <c r="O90" s="339">
        <v>1</v>
      </c>
      <c r="P90" s="37">
        <v>0.7</v>
      </c>
      <c r="Q90" s="37">
        <f t="shared" si="1"/>
        <v>3.5</v>
      </c>
      <c r="R90" s="58">
        <v>8414208090</v>
      </c>
      <c r="S90" s="55">
        <v>2.1999999999999999E-2</v>
      </c>
      <c r="T90" s="96" t="s">
        <v>582</v>
      </c>
      <c r="U90" s="96">
        <v>6.99</v>
      </c>
      <c r="V90" s="97">
        <v>0.27</v>
      </c>
      <c r="W90" s="98" t="s">
        <v>265</v>
      </c>
    </row>
    <row r="91" spans="1:23" s="3" customFormat="1" ht="18" customHeight="1">
      <c r="A91" s="15">
        <v>89</v>
      </c>
      <c r="B91" s="340"/>
      <c r="C91" s="26" t="s">
        <v>266</v>
      </c>
      <c r="D91" s="16" t="s">
        <v>583</v>
      </c>
      <c r="E91" s="22" t="s">
        <v>267</v>
      </c>
      <c r="F91" s="19" t="s">
        <v>41</v>
      </c>
      <c r="G91" s="68" t="s">
        <v>479</v>
      </c>
      <c r="H91" s="19" t="s">
        <v>41</v>
      </c>
      <c r="I91" s="84" t="s">
        <v>472</v>
      </c>
      <c r="J91" s="26">
        <v>10</v>
      </c>
      <c r="K91" s="25">
        <v>6.1</v>
      </c>
      <c r="L91" s="25">
        <v>6.1</v>
      </c>
      <c r="M91" s="25">
        <v>6.1</v>
      </c>
      <c r="N91" s="25">
        <v>6.1</v>
      </c>
      <c r="O91" s="339"/>
      <c r="P91" s="37">
        <v>0.7</v>
      </c>
      <c r="Q91" s="37">
        <f t="shared" si="1"/>
        <v>7</v>
      </c>
      <c r="R91" s="58">
        <v>8714109090</v>
      </c>
      <c r="S91" s="55">
        <v>3.6999999999999998E-2</v>
      </c>
      <c r="T91" s="96" t="s">
        <v>584</v>
      </c>
      <c r="U91" s="96">
        <v>13.99</v>
      </c>
      <c r="V91" s="97">
        <v>0.46</v>
      </c>
      <c r="W91" s="98" t="s">
        <v>268</v>
      </c>
    </row>
    <row r="92" spans="1:23" s="3" customFormat="1" ht="18" customHeight="1">
      <c r="A92" s="15">
        <v>90</v>
      </c>
      <c r="B92" s="340" t="s">
        <v>585</v>
      </c>
      <c r="C92" s="26" t="s">
        <v>270</v>
      </c>
      <c r="D92" s="16" t="s">
        <v>586</v>
      </c>
      <c r="E92" s="22" t="s">
        <v>587</v>
      </c>
      <c r="F92" s="19" t="s">
        <v>41</v>
      </c>
      <c r="G92" s="68" t="s">
        <v>475</v>
      </c>
      <c r="H92" s="19" t="s">
        <v>41</v>
      </c>
      <c r="I92" s="81" t="s">
        <v>476</v>
      </c>
      <c r="J92" s="26">
        <v>32</v>
      </c>
      <c r="K92" s="25">
        <v>14.94</v>
      </c>
      <c r="L92" s="25">
        <v>14.94</v>
      </c>
      <c r="M92" s="25">
        <v>14.94</v>
      </c>
      <c r="N92" s="45">
        <v>15.46</v>
      </c>
      <c r="O92" s="339">
        <v>1</v>
      </c>
      <c r="P92" s="37">
        <v>1.5</v>
      </c>
      <c r="Q92" s="37">
        <f t="shared" si="1"/>
        <v>48</v>
      </c>
      <c r="R92" s="58">
        <v>3924900090</v>
      </c>
      <c r="S92" s="55">
        <v>6.5000000000000002E-2</v>
      </c>
      <c r="T92" s="94" t="s">
        <v>588</v>
      </c>
      <c r="U92" s="94"/>
      <c r="V92" s="94">
        <v>0.42</v>
      </c>
      <c r="W92" s="99" t="s">
        <v>272</v>
      </c>
    </row>
    <row r="93" spans="1:23" s="3" customFormat="1" ht="18" customHeight="1">
      <c r="A93" s="15">
        <v>91</v>
      </c>
      <c r="B93" s="340"/>
      <c r="C93" s="26" t="s">
        <v>273</v>
      </c>
      <c r="D93" s="16" t="s">
        <v>589</v>
      </c>
      <c r="E93" s="22" t="s">
        <v>274</v>
      </c>
      <c r="F93" s="19" t="s">
        <v>41</v>
      </c>
      <c r="G93" s="68" t="s">
        <v>487</v>
      </c>
      <c r="H93" s="19" t="s">
        <v>41</v>
      </c>
      <c r="I93" s="81" t="s">
        <v>484</v>
      </c>
      <c r="J93" s="26">
        <v>15</v>
      </c>
      <c r="K93" s="25">
        <v>3.9</v>
      </c>
      <c r="L93" s="25">
        <v>3.9</v>
      </c>
      <c r="M93" s="25">
        <v>3.9</v>
      </c>
      <c r="N93" s="25">
        <v>3.9</v>
      </c>
      <c r="O93" s="339"/>
      <c r="P93" s="37">
        <v>1.5</v>
      </c>
      <c r="Q93" s="37">
        <f t="shared" si="1"/>
        <v>22.5</v>
      </c>
      <c r="R93" s="58">
        <v>6307909810</v>
      </c>
      <c r="S93" s="55">
        <v>6.3E-2</v>
      </c>
      <c r="T93" s="94" t="s">
        <v>590</v>
      </c>
      <c r="U93" s="94"/>
      <c r="V93" s="94">
        <v>0.16</v>
      </c>
      <c r="W93" s="99" t="s">
        <v>275</v>
      </c>
    </row>
    <row r="94" spans="1:23" s="3" customFormat="1" ht="18" customHeight="1">
      <c r="A94" s="15">
        <v>92</v>
      </c>
      <c r="B94" s="340" t="s">
        <v>591</v>
      </c>
      <c r="C94" s="26" t="s">
        <v>270</v>
      </c>
      <c r="D94" s="16" t="s">
        <v>592</v>
      </c>
      <c r="E94" s="22" t="s">
        <v>587</v>
      </c>
      <c r="F94" s="19" t="s">
        <v>41</v>
      </c>
      <c r="G94" s="68" t="s">
        <v>475</v>
      </c>
      <c r="H94" s="19" t="s">
        <v>41</v>
      </c>
      <c r="I94" s="81" t="s">
        <v>476</v>
      </c>
      <c r="J94" s="26">
        <v>3</v>
      </c>
      <c r="K94" s="25">
        <v>2.76</v>
      </c>
      <c r="L94" s="25">
        <v>2.76</v>
      </c>
      <c r="M94" s="25">
        <v>2.76</v>
      </c>
      <c r="N94" s="25">
        <v>2.76</v>
      </c>
      <c r="O94" s="339">
        <v>1</v>
      </c>
      <c r="P94" s="37">
        <v>1.5</v>
      </c>
      <c r="Q94" s="37">
        <f t="shared" si="1"/>
        <v>4.5</v>
      </c>
      <c r="R94" s="58">
        <v>3924900090</v>
      </c>
      <c r="S94" s="55">
        <v>6.5000000000000002E-2</v>
      </c>
      <c r="T94" s="94" t="s">
        <v>588</v>
      </c>
      <c r="U94" s="94"/>
      <c r="V94" s="94">
        <v>0.42</v>
      </c>
      <c r="W94" s="26" t="s">
        <v>272</v>
      </c>
    </row>
    <row r="95" spans="1:23" s="3" customFormat="1" ht="18" customHeight="1">
      <c r="A95" s="15">
        <v>93</v>
      </c>
      <c r="B95" s="340"/>
      <c r="C95" s="26" t="s">
        <v>277</v>
      </c>
      <c r="D95" s="16" t="s">
        <v>593</v>
      </c>
      <c r="E95" s="15" t="s">
        <v>594</v>
      </c>
      <c r="F95" s="19" t="s">
        <v>41</v>
      </c>
      <c r="G95" s="68" t="s">
        <v>595</v>
      </c>
      <c r="H95" s="19" t="s">
        <v>41</v>
      </c>
      <c r="I95" s="81" t="s">
        <v>596</v>
      </c>
      <c r="J95" s="26">
        <v>33</v>
      </c>
      <c r="K95" s="25">
        <v>17.010000000000002</v>
      </c>
      <c r="L95" s="25">
        <v>17.010000000000002</v>
      </c>
      <c r="M95" s="25">
        <v>17.010000000000002</v>
      </c>
      <c r="N95" s="25">
        <v>17.010000000000002</v>
      </c>
      <c r="O95" s="339"/>
      <c r="P95" s="37">
        <v>1.5</v>
      </c>
      <c r="Q95" s="37">
        <f t="shared" si="1"/>
        <v>49.5</v>
      </c>
      <c r="R95" s="58">
        <v>8539500000</v>
      </c>
      <c r="S95" s="55">
        <v>3.6999999999999998E-2</v>
      </c>
      <c r="T95" s="94" t="s">
        <v>597</v>
      </c>
      <c r="U95" s="94">
        <v>16.989999999999998</v>
      </c>
      <c r="V95" s="94">
        <v>0.47</v>
      </c>
      <c r="W95" s="99" t="s">
        <v>281</v>
      </c>
    </row>
    <row r="96" spans="1:23" s="3" customFormat="1" ht="18" customHeight="1">
      <c r="A96" s="15">
        <v>94</v>
      </c>
      <c r="B96" s="340"/>
      <c r="C96" s="69" t="s">
        <v>282</v>
      </c>
      <c r="D96" s="16" t="s">
        <v>598</v>
      </c>
      <c r="E96" s="22" t="s">
        <v>283</v>
      </c>
      <c r="F96" s="19" t="s">
        <v>41</v>
      </c>
      <c r="G96" s="70" t="s">
        <v>599</v>
      </c>
      <c r="H96" s="19" t="s">
        <v>41</v>
      </c>
      <c r="I96" s="82" t="s">
        <v>600</v>
      </c>
      <c r="J96" s="26">
        <v>15</v>
      </c>
      <c r="K96" s="25">
        <v>2.5499999999999998</v>
      </c>
      <c r="L96" s="25">
        <v>2.5499999999999998</v>
      </c>
      <c r="M96" s="25">
        <v>2.5499999999999998</v>
      </c>
      <c r="N96" s="25">
        <v>2.5499999999999998</v>
      </c>
      <c r="O96" s="339"/>
      <c r="P96" s="37">
        <v>1.5</v>
      </c>
      <c r="Q96" s="37">
        <f t="shared" si="1"/>
        <v>22.5</v>
      </c>
      <c r="R96" s="58">
        <v>6307909899</v>
      </c>
      <c r="S96" s="55">
        <v>6.3E-2</v>
      </c>
      <c r="T96" s="40" t="s">
        <v>601</v>
      </c>
      <c r="U96" s="40">
        <v>11.99</v>
      </c>
      <c r="V96" s="40">
        <v>7.0000000000000007E-2</v>
      </c>
      <c r="W96" s="99" t="s">
        <v>286</v>
      </c>
    </row>
    <row r="97" spans="1:23" s="3" customFormat="1" ht="18" customHeight="1">
      <c r="A97" s="15">
        <v>95</v>
      </c>
      <c r="B97" s="340"/>
      <c r="C97" s="69" t="s">
        <v>287</v>
      </c>
      <c r="D97" s="16" t="s">
        <v>602</v>
      </c>
      <c r="E97" s="22" t="s">
        <v>288</v>
      </c>
      <c r="F97" s="19" t="s">
        <v>41</v>
      </c>
      <c r="G97" s="70" t="s">
        <v>475</v>
      </c>
      <c r="H97" s="19" t="s">
        <v>41</v>
      </c>
      <c r="I97" s="82" t="s">
        <v>603</v>
      </c>
      <c r="J97" s="26">
        <v>20</v>
      </c>
      <c r="K97" s="25">
        <v>5.0999999999999996</v>
      </c>
      <c r="L97" s="25">
        <v>5.0999999999999996</v>
      </c>
      <c r="M97" s="25">
        <v>5.0999999999999996</v>
      </c>
      <c r="N97" s="25">
        <v>5.0999999999999996</v>
      </c>
      <c r="O97" s="339"/>
      <c r="P97" s="37">
        <v>1.5</v>
      </c>
      <c r="Q97" s="37">
        <f t="shared" si="1"/>
        <v>30</v>
      </c>
      <c r="R97" s="58">
        <v>9603909900</v>
      </c>
      <c r="S97" s="55">
        <v>3.6999999999999998E-2</v>
      </c>
      <c r="T97" s="40" t="s">
        <v>604</v>
      </c>
      <c r="U97" s="40">
        <v>4.54</v>
      </c>
      <c r="V97" s="40">
        <v>0.18</v>
      </c>
      <c r="W97" s="99" t="s">
        <v>291</v>
      </c>
    </row>
    <row r="98" spans="1:23" s="3" customFormat="1" ht="18" customHeight="1">
      <c r="A98" s="15">
        <v>96</v>
      </c>
      <c r="B98" s="340"/>
      <c r="C98" s="69" t="s">
        <v>292</v>
      </c>
      <c r="D98" s="16" t="s">
        <v>605</v>
      </c>
      <c r="E98" s="22" t="s">
        <v>293</v>
      </c>
      <c r="F98" s="19" t="s">
        <v>41</v>
      </c>
      <c r="G98" s="70" t="s">
        <v>606</v>
      </c>
      <c r="H98" s="19" t="s">
        <v>41</v>
      </c>
      <c r="I98" s="82" t="s">
        <v>607</v>
      </c>
      <c r="J98" s="26">
        <v>20</v>
      </c>
      <c r="K98" s="25">
        <v>21.3</v>
      </c>
      <c r="L98" s="25">
        <v>21.3</v>
      </c>
      <c r="M98" s="25">
        <v>21.3</v>
      </c>
      <c r="N98" s="25">
        <v>21.3</v>
      </c>
      <c r="O98" s="339"/>
      <c r="P98" s="37">
        <v>1.5</v>
      </c>
      <c r="Q98" s="37">
        <f t="shared" si="1"/>
        <v>30</v>
      </c>
      <c r="R98" s="58">
        <v>7323930090</v>
      </c>
      <c r="S98" s="55">
        <v>3.2000000000000001E-2</v>
      </c>
      <c r="T98" s="40" t="s">
        <v>608</v>
      </c>
      <c r="U98" s="40">
        <v>0.26</v>
      </c>
      <c r="V98" s="40">
        <v>0.99</v>
      </c>
      <c r="W98" s="99" t="s">
        <v>296</v>
      </c>
    </row>
    <row r="99" spans="1:23" s="3" customFormat="1" ht="18" customHeight="1">
      <c r="A99" s="15">
        <v>97</v>
      </c>
      <c r="B99" s="340"/>
      <c r="C99" s="69" t="s">
        <v>297</v>
      </c>
      <c r="D99" s="16" t="s">
        <v>609</v>
      </c>
      <c r="E99" s="22" t="s">
        <v>298</v>
      </c>
      <c r="F99" s="19" t="s">
        <v>41</v>
      </c>
      <c r="G99" s="70" t="s">
        <v>536</v>
      </c>
      <c r="H99" s="19" t="s">
        <v>41</v>
      </c>
      <c r="I99" s="82" t="s">
        <v>472</v>
      </c>
      <c r="J99" s="26">
        <v>20</v>
      </c>
      <c r="K99" s="25">
        <v>1.8</v>
      </c>
      <c r="L99" s="25">
        <v>1.8</v>
      </c>
      <c r="M99" s="25">
        <v>1.8</v>
      </c>
      <c r="N99" s="25">
        <v>1.8</v>
      </c>
      <c r="O99" s="339"/>
      <c r="P99" s="37">
        <v>1.5</v>
      </c>
      <c r="Q99" s="37">
        <f t="shared" si="1"/>
        <v>30</v>
      </c>
      <c r="R99" s="58">
        <v>3924900090</v>
      </c>
      <c r="S99" s="55">
        <v>6.5000000000000002E-2</v>
      </c>
      <c r="T99" s="40" t="s">
        <v>610</v>
      </c>
      <c r="U99" s="40">
        <v>1.92</v>
      </c>
      <c r="V99" s="40">
        <v>1.4999999999999999E-2</v>
      </c>
      <c r="W99" s="99" t="s">
        <v>299</v>
      </c>
    </row>
    <row r="100" spans="1:23" s="3" customFormat="1" ht="18" customHeight="1">
      <c r="A100" s="15">
        <v>98</v>
      </c>
      <c r="B100" s="340"/>
      <c r="C100" s="69" t="s">
        <v>300</v>
      </c>
      <c r="D100" s="16" t="s">
        <v>611</v>
      </c>
      <c r="E100" s="22" t="s">
        <v>301</v>
      </c>
      <c r="F100" s="19" t="s">
        <v>41</v>
      </c>
      <c r="G100" s="70" t="s">
        <v>515</v>
      </c>
      <c r="H100" s="19" t="s">
        <v>41</v>
      </c>
      <c r="I100" s="82" t="s">
        <v>484</v>
      </c>
      <c r="J100" s="26">
        <v>22</v>
      </c>
      <c r="K100" s="25">
        <v>5.9</v>
      </c>
      <c r="L100" s="25">
        <v>5.9</v>
      </c>
      <c r="M100" s="25">
        <v>5.9</v>
      </c>
      <c r="N100" s="25">
        <v>5.9</v>
      </c>
      <c r="O100" s="339"/>
      <c r="P100" s="37">
        <v>1.5</v>
      </c>
      <c r="Q100" s="37">
        <f t="shared" si="1"/>
        <v>33</v>
      </c>
      <c r="R100" s="58">
        <v>6406909010</v>
      </c>
      <c r="S100" s="55">
        <v>0.03</v>
      </c>
      <c r="T100" s="40" t="s">
        <v>612</v>
      </c>
      <c r="U100" s="40">
        <v>24.29</v>
      </c>
      <c r="V100" s="40">
        <v>0.2</v>
      </c>
      <c r="W100" s="99" t="s">
        <v>304</v>
      </c>
    </row>
    <row r="101" spans="1:23" s="3" customFormat="1" ht="18" customHeight="1">
      <c r="A101" s="15">
        <v>99</v>
      </c>
      <c r="B101" s="340" t="s">
        <v>613</v>
      </c>
      <c r="C101" s="69" t="s">
        <v>306</v>
      </c>
      <c r="D101" s="16" t="s">
        <v>614</v>
      </c>
      <c r="E101" s="22" t="s">
        <v>307</v>
      </c>
      <c r="F101" s="19" t="s">
        <v>41</v>
      </c>
      <c r="G101" s="70" t="s">
        <v>615</v>
      </c>
      <c r="H101" s="19" t="s">
        <v>41</v>
      </c>
      <c r="I101" s="82" t="s">
        <v>546</v>
      </c>
      <c r="J101" s="26">
        <v>10</v>
      </c>
      <c r="K101" s="25">
        <v>2.5</v>
      </c>
      <c r="L101" s="25">
        <v>2.5</v>
      </c>
      <c r="M101" s="25">
        <v>2.5</v>
      </c>
      <c r="N101" s="25">
        <v>2.5</v>
      </c>
      <c r="O101" s="339">
        <v>1</v>
      </c>
      <c r="P101" s="37">
        <v>1.5</v>
      </c>
      <c r="Q101" s="37">
        <f t="shared" si="1"/>
        <v>15</v>
      </c>
      <c r="R101" s="58">
        <v>6302599090</v>
      </c>
      <c r="S101" s="55">
        <v>0.12</v>
      </c>
      <c r="T101" s="40" t="s">
        <v>616</v>
      </c>
      <c r="U101" s="40">
        <v>0.28000000000000003</v>
      </c>
      <c r="V101" s="40"/>
      <c r="W101" s="99" t="s">
        <v>309</v>
      </c>
    </row>
    <row r="102" spans="1:23" s="3" customFormat="1" ht="18" customHeight="1">
      <c r="A102" s="15">
        <v>100</v>
      </c>
      <c r="B102" s="340"/>
      <c r="C102" s="69" t="s">
        <v>310</v>
      </c>
      <c r="D102" s="16" t="s">
        <v>617</v>
      </c>
      <c r="E102" s="22" t="s">
        <v>311</v>
      </c>
      <c r="F102" s="19" t="s">
        <v>41</v>
      </c>
      <c r="G102" s="70" t="s">
        <v>501</v>
      </c>
      <c r="H102" s="19" t="s">
        <v>41</v>
      </c>
      <c r="I102" s="82" t="s">
        <v>484</v>
      </c>
      <c r="J102" s="26">
        <v>20</v>
      </c>
      <c r="K102" s="25">
        <v>5.5</v>
      </c>
      <c r="L102" s="25">
        <v>5.5</v>
      </c>
      <c r="M102" s="25">
        <v>5.5</v>
      </c>
      <c r="N102" s="25">
        <v>5.5</v>
      </c>
      <c r="O102" s="339"/>
      <c r="P102" s="37">
        <v>1.5</v>
      </c>
      <c r="Q102" s="37">
        <f t="shared" si="1"/>
        <v>30</v>
      </c>
      <c r="R102" s="58">
        <v>9021109000</v>
      </c>
      <c r="S102" s="55">
        <v>0</v>
      </c>
      <c r="T102" s="40" t="s">
        <v>502</v>
      </c>
      <c r="U102" s="40">
        <v>11.99</v>
      </c>
      <c r="V102" s="40">
        <v>0.2</v>
      </c>
      <c r="W102" s="99" t="s">
        <v>140</v>
      </c>
    </row>
    <row r="103" spans="1:23" s="3" customFormat="1" ht="18" customHeight="1">
      <c r="A103" s="15">
        <v>101</v>
      </c>
      <c r="B103" s="340"/>
      <c r="C103" s="69" t="s">
        <v>300</v>
      </c>
      <c r="D103" s="16" t="s">
        <v>611</v>
      </c>
      <c r="E103" s="22" t="s">
        <v>301</v>
      </c>
      <c r="F103" s="19" t="s">
        <v>41</v>
      </c>
      <c r="G103" s="70" t="s">
        <v>515</v>
      </c>
      <c r="H103" s="19" t="s">
        <v>41</v>
      </c>
      <c r="I103" s="82" t="s">
        <v>484</v>
      </c>
      <c r="J103" s="26">
        <v>38</v>
      </c>
      <c r="K103" s="25">
        <v>9.1</v>
      </c>
      <c r="L103" s="25">
        <v>9.1</v>
      </c>
      <c r="M103" s="25">
        <v>9.1</v>
      </c>
      <c r="N103" s="25">
        <v>9.1</v>
      </c>
      <c r="O103" s="339"/>
      <c r="P103" s="37">
        <v>1.5</v>
      </c>
      <c r="Q103" s="37">
        <f t="shared" si="1"/>
        <v>57</v>
      </c>
      <c r="R103" s="58">
        <v>6406909010</v>
      </c>
      <c r="S103" s="55">
        <v>0.03</v>
      </c>
      <c r="T103" s="40" t="s">
        <v>612</v>
      </c>
      <c r="U103" s="40">
        <v>24.29</v>
      </c>
      <c r="V103" s="40">
        <v>0.2</v>
      </c>
      <c r="W103" s="26" t="s">
        <v>304</v>
      </c>
    </row>
    <row r="104" spans="1:23" s="3" customFormat="1" ht="18" customHeight="1">
      <c r="A104" s="15">
        <v>102</v>
      </c>
      <c r="B104" s="340"/>
      <c r="C104" s="69" t="s">
        <v>313</v>
      </c>
      <c r="D104" s="16" t="s">
        <v>618</v>
      </c>
      <c r="E104" s="22" t="s">
        <v>314</v>
      </c>
      <c r="F104" s="19" t="s">
        <v>41</v>
      </c>
      <c r="G104" s="70" t="s">
        <v>619</v>
      </c>
      <c r="H104" s="19" t="s">
        <v>41</v>
      </c>
      <c r="I104" s="82" t="s">
        <v>484</v>
      </c>
      <c r="J104" s="26">
        <v>30</v>
      </c>
      <c r="K104" s="25">
        <v>4.5</v>
      </c>
      <c r="L104" s="25">
        <v>4.5</v>
      </c>
      <c r="M104" s="25">
        <v>4.5</v>
      </c>
      <c r="N104" s="25">
        <v>4.5</v>
      </c>
      <c r="O104" s="339"/>
      <c r="P104" s="37">
        <v>1.5</v>
      </c>
      <c r="Q104" s="37">
        <f t="shared" si="1"/>
        <v>45</v>
      </c>
      <c r="R104" s="58">
        <v>9506919000</v>
      </c>
      <c r="S104" s="55">
        <v>2.7E-2</v>
      </c>
      <c r="T104" s="40" t="s">
        <v>620</v>
      </c>
      <c r="U104" s="40">
        <v>12.99</v>
      </c>
      <c r="V104" s="40"/>
      <c r="W104" s="99" t="s">
        <v>316</v>
      </c>
    </row>
    <row r="105" spans="1:23" s="3" customFormat="1" ht="18" customHeight="1">
      <c r="A105" s="15">
        <v>103</v>
      </c>
      <c r="B105" s="340"/>
      <c r="C105" s="69" t="s">
        <v>282</v>
      </c>
      <c r="D105" s="16" t="s">
        <v>598</v>
      </c>
      <c r="E105" s="22" t="s">
        <v>283</v>
      </c>
      <c r="F105" s="19" t="s">
        <v>41</v>
      </c>
      <c r="G105" s="70" t="s">
        <v>621</v>
      </c>
      <c r="H105" s="19" t="s">
        <v>41</v>
      </c>
      <c r="I105" s="82" t="s">
        <v>622</v>
      </c>
      <c r="J105" s="26">
        <v>13</v>
      </c>
      <c r="K105" s="25">
        <v>2.41</v>
      </c>
      <c r="L105" s="25">
        <v>2.41</v>
      </c>
      <c r="M105" s="25">
        <v>2.41</v>
      </c>
      <c r="N105" s="25">
        <v>2.41</v>
      </c>
      <c r="O105" s="339"/>
      <c r="P105" s="37">
        <v>1.5</v>
      </c>
      <c r="Q105" s="37">
        <f t="shared" si="1"/>
        <v>19.5</v>
      </c>
      <c r="R105" s="58">
        <v>6307909899</v>
      </c>
      <c r="S105" s="55">
        <v>6.3E-2</v>
      </c>
      <c r="T105" s="40" t="s">
        <v>601</v>
      </c>
      <c r="U105" s="40">
        <v>11.99</v>
      </c>
      <c r="V105" s="40">
        <v>7.0000000000000007E-2</v>
      </c>
      <c r="W105" s="26" t="s">
        <v>319</v>
      </c>
    </row>
    <row r="106" spans="1:23" s="3" customFormat="1" ht="18" customHeight="1">
      <c r="A106" s="15">
        <v>104</v>
      </c>
      <c r="B106" s="15" t="s">
        <v>623</v>
      </c>
      <c r="C106" s="16" t="s">
        <v>321</v>
      </c>
      <c r="D106" s="73" t="s">
        <v>624</v>
      </c>
      <c r="E106" s="18" t="s">
        <v>61</v>
      </c>
      <c r="F106" s="19" t="s">
        <v>41</v>
      </c>
      <c r="G106" s="20" t="s">
        <v>625</v>
      </c>
      <c r="H106" s="19" t="s">
        <v>41</v>
      </c>
      <c r="I106" s="38" t="s">
        <v>626</v>
      </c>
      <c r="J106" s="40">
        <v>48</v>
      </c>
      <c r="K106" s="39">
        <v>14.46</v>
      </c>
      <c r="L106" s="39">
        <v>14.46</v>
      </c>
      <c r="M106" s="39">
        <v>14.46</v>
      </c>
      <c r="N106" s="39">
        <v>14.46</v>
      </c>
      <c r="O106" s="15">
        <v>1</v>
      </c>
      <c r="P106" s="37">
        <v>0.33</v>
      </c>
      <c r="Q106" s="37">
        <f t="shared" si="1"/>
        <v>15.84</v>
      </c>
      <c r="R106" s="58">
        <v>8424200000</v>
      </c>
      <c r="S106" s="55">
        <v>1.7000000000000001E-2</v>
      </c>
      <c r="T106" s="100" t="s">
        <v>627</v>
      </c>
      <c r="U106" s="100">
        <v>11.62</v>
      </c>
      <c r="V106" s="100">
        <v>0.27</v>
      </c>
      <c r="W106" s="56" t="s">
        <v>325</v>
      </c>
    </row>
    <row r="107" spans="1:23" s="3" customFormat="1" ht="18" customHeight="1">
      <c r="A107" s="15">
        <v>105</v>
      </c>
      <c r="B107" s="15" t="s">
        <v>628</v>
      </c>
      <c r="C107" s="16" t="s">
        <v>321</v>
      </c>
      <c r="D107" s="73" t="s">
        <v>624</v>
      </c>
      <c r="E107" s="18" t="s">
        <v>61</v>
      </c>
      <c r="F107" s="19" t="s">
        <v>41</v>
      </c>
      <c r="G107" s="20" t="s">
        <v>625</v>
      </c>
      <c r="H107" s="19" t="s">
        <v>41</v>
      </c>
      <c r="I107" s="38" t="s">
        <v>626</v>
      </c>
      <c r="J107" s="40">
        <v>48</v>
      </c>
      <c r="K107" s="39">
        <v>14.46</v>
      </c>
      <c r="L107" s="39">
        <v>14.46</v>
      </c>
      <c r="M107" s="39">
        <v>14.46</v>
      </c>
      <c r="N107" s="39">
        <v>14.46</v>
      </c>
      <c r="O107" s="15">
        <v>1</v>
      </c>
      <c r="P107" s="37">
        <v>0.33</v>
      </c>
      <c r="Q107" s="37">
        <f t="shared" si="1"/>
        <v>15.84</v>
      </c>
      <c r="R107" s="58">
        <v>8424200000</v>
      </c>
      <c r="S107" s="55">
        <v>1.7000000000000001E-2</v>
      </c>
      <c r="T107" s="100" t="s">
        <v>627</v>
      </c>
      <c r="U107" s="100">
        <v>11.62</v>
      </c>
      <c r="V107" s="100">
        <v>0.27</v>
      </c>
      <c r="W107" s="57" t="s">
        <v>325</v>
      </c>
    </row>
    <row r="108" spans="1:23" s="3" customFormat="1" ht="18" customHeight="1">
      <c r="A108" s="15">
        <v>106</v>
      </c>
      <c r="B108" s="15" t="s">
        <v>629</v>
      </c>
      <c r="C108" s="16" t="s">
        <v>321</v>
      </c>
      <c r="D108" s="73" t="s">
        <v>624</v>
      </c>
      <c r="E108" s="18" t="s">
        <v>61</v>
      </c>
      <c r="F108" s="19" t="s">
        <v>41</v>
      </c>
      <c r="G108" s="20" t="s">
        <v>625</v>
      </c>
      <c r="H108" s="19" t="s">
        <v>41</v>
      </c>
      <c r="I108" s="38" t="s">
        <v>626</v>
      </c>
      <c r="J108" s="40">
        <v>48</v>
      </c>
      <c r="K108" s="39">
        <v>14.46</v>
      </c>
      <c r="L108" s="39">
        <v>14.46</v>
      </c>
      <c r="M108" s="39">
        <v>14.46</v>
      </c>
      <c r="N108" s="39">
        <v>14.46</v>
      </c>
      <c r="O108" s="15">
        <v>1</v>
      </c>
      <c r="P108" s="37">
        <v>0.33</v>
      </c>
      <c r="Q108" s="37">
        <f t="shared" si="1"/>
        <v>15.84</v>
      </c>
      <c r="R108" s="58">
        <v>8424200000</v>
      </c>
      <c r="S108" s="55">
        <v>1.7000000000000001E-2</v>
      </c>
      <c r="T108" s="100" t="s">
        <v>627</v>
      </c>
      <c r="U108" s="100">
        <v>11.62</v>
      </c>
      <c r="V108" s="100">
        <v>0.27</v>
      </c>
      <c r="W108" s="57" t="s">
        <v>325</v>
      </c>
    </row>
    <row r="109" spans="1:23" s="3" customFormat="1" ht="18" customHeight="1">
      <c r="A109" s="15">
        <v>107</v>
      </c>
      <c r="B109" s="15" t="s">
        <v>630</v>
      </c>
      <c r="C109" s="16" t="s">
        <v>321</v>
      </c>
      <c r="D109" s="73" t="s">
        <v>624</v>
      </c>
      <c r="E109" s="18" t="s">
        <v>61</v>
      </c>
      <c r="F109" s="19" t="s">
        <v>41</v>
      </c>
      <c r="G109" s="20" t="s">
        <v>625</v>
      </c>
      <c r="H109" s="19" t="s">
        <v>41</v>
      </c>
      <c r="I109" s="38" t="s">
        <v>626</v>
      </c>
      <c r="J109" s="40">
        <v>48</v>
      </c>
      <c r="K109" s="39">
        <v>14.46</v>
      </c>
      <c r="L109" s="39">
        <v>14.46</v>
      </c>
      <c r="M109" s="39">
        <v>14.46</v>
      </c>
      <c r="N109" s="39">
        <v>14.46</v>
      </c>
      <c r="O109" s="15">
        <v>1</v>
      </c>
      <c r="P109" s="37">
        <v>0.33</v>
      </c>
      <c r="Q109" s="37">
        <f t="shared" si="1"/>
        <v>15.84</v>
      </c>
      <c r="R109" s="58">
        <v>8424200000</v>
      </c>
      <c r="S109" s="55">
        <v>1.7000000000000001E-2</v>
      </c>
      <c r="T109" s="100" t="s">
        <v>627</v>
      </c>
      <c r="U109" s="100">
        <v>11.62</v>
      </c>
      <c r="V109" s="100">
        <v>0.27</v>
      </c>
      <c r="W109" s="57" t="s">
        <v>325</v>
      </c>
    </row>
    <row r="110" spans="1:23" s="3" customFormat="1" ht="18" customHeight="1">
      <c r="A110" s="15">
        <v>108</v>
      </c>
      <c r="B110" s="15" t="s">
        <v>631</v>
      </c>
      <c r="C110" s="16" t="s">
        <v>321</v>
      </c>
      <c r="D110" s="73" t="s">
        <v>624</v>
      </c>
      <c r="E110" s="18" t="s">
        <v>61</v>
      </c>
      <c r="F110" s="19" t="s">
        <v>41</v>
      </c>
      <c r="G110" s="20" t="s">
        <v>625</v>
      </c>
      <c r="H110" s="19" t="s">
        <v>41</v>
      </c>
      <c r="I110" s="38" t="s">
        <v>626</v>
      </c>
      <c r="J110" s="40">
        <v>48</v>
      </c>
      <c r="K110" s="39">
        <v>14.46</v>
      </c>
      <c r="L110" s="39">
        <v>14.46</v>
      </c>
      <c r="M110" s="39">
        <v>14.46</v>
      </c>
      <c r="N110" s="39">
        <v>14.46</v>
      </c>
      <c r="O110" s="15">
        <v>1</v>
      </c>
      <c r="P110" s="37">
        <v>0.33</v>
      </c>
      <c r="Q110" s="37">
        <f t="shared" si="1"/>
        <v>15.84</v>
      </c>
      <c r="R110" s="58">
        <v>8424200000</v>
      </c>
      <c r="S110" s="55">
        <v>1.7000000000000001E-2</v>
      </c>
      <c r="T110" s="100" t="s">
        <v>627</v>
      </c>
      <c r="U110" s="100">
        <v>11.62</v>
      </c>
      <c r="V110" s="100">
        <v>0.27</v>
      </c>
      <c r="W110" s="57" t="s">
        <v>325</v>
      </c>
    </row>
    <row r="111" spans="1:23" s="3" customFormat="1" ht="18" customHeight="1">
      <c r="A111" s="15">
        <v>109</v>
      </c>
      <c r="B111" s="15" t="s">
        <v>632</v>
      </c>
      <c r="C111" s="24" t="s">
        <v>331</v>
      </c>
      <c r="D111" s="74" t="s">
        <v>633</v>
      </c>
      <c r="E111" s="22" t="s">
        <v>332</v>
      </c>
      <c r="F111" s="19" t="s">
        <v>41</v>
      </c>
      <c r="G111" s="20" t="s">
        <v>634</v>
      </c>
      <c r="H111" s="19" t="s">
        <v>41</v>
      </c>
      <c r="I111" s="38" t="s">
        <v>635</v>
      </c>
      <c r="J111" s="40">
        <v>48</v>
      </c>
      <c r="K111" s="39">
        <v>7.26</v>
      </c>
      <c r="L111" s="39">
        <v>7.26</v>
      </c>
      <c r="M111" s="39">
        <v>7.26</v>
      </c>
      <c r="N111" s="39">
        <v>7.26</v>
      </c>
      <c r="O111" s="15">
        <v>1</v>
      </c>
      <c r="P111" s="37">
        <v>0.22</v>
      </c>
      <c r="Q111" s="37">
        <f t="shared" si="1"/>
        <v>10.56</v>
      </c>
      <c r="R111" s="58">
        <v>9021109000</v>
      </c>
      <c r="S111" s="55">
        <v>0</v>
      </c>
      <c r="T111" s="101" t="s">
        <v>636</v>
      </c>
      <c r="U111" s="101">
        <v>10.99</v>
      </c>
      <c r="V111" s="101">
        <v>0.12</v>
      </c>
      <c r="W111" s="102" t="s">
        <v>335</v>
      </c>
    </row>
    <row r="112" spans="1:23" s="3" customFormat="1" ht="18" customHeight="1">
      <c r="A112" s="15">
        <v>110</v>
      </c>
      <c r="B112" s="15" t="s">
        <v>637</v>
      </c>
      <c r="C112" s="24" t="s">
        <v>331</v>
      </c>
      <c r="D112" s="74" t="s">
        <v>633</v>
      </c>
      <c r="E112" s="22" t="s">
        <v>332</v>
      </c>
      <c r="F112" s="19" t="s">
        <v>41</v>
      </c>
      <c r="G112" s="20" t="s">
        <v>634</v>
      </c>
      <c r="H112" s="19" t="s">
        <v>41</v>
      </c>
      <c r="I112" s="38" t="s">
        <v>635</v>
      </c>
      <c r="J112" s="40">
        <v>48</v>
      </c>
      <c r="K112" s="39">
        <v>7.26</v>
      </c>
      <c r="L112" s="39">
        <v>7.26</v>
      </c>
      <c r="M112" s="39">
        <v>7.26</v>
      </c>
      <c r="N112" s="39">
        <v>7.26</v>
      </c>
      <c r="O112" s="15">
        <v>1</v>
      </c>
      <c r="P112" s="37">
        <v>0.22</v>
      </c>
      <c r="Q112" s="37">
        <f t="shared" si="1"/>
        <v>10.56</v>
      </c>
      <c r="R112" s="58">
        <v>9021109000</v>
      </c>
      <c r="S112" s="55">
        <v>0</v>
      </c>
      <c r="T112" s="101" t="s">
        <v>636</v>
      </c>
      <c r="U112" s="101">
        <v>10.99</v>
      </c>
      <c r="V112" s="101">
        <v>0.12</v>
      </c>
      <c r="W112" s="57" t="s">
        <v>335</v>
      </c>
    </row>
    <row r="113" spans="1:23" s="3" customFormat="1" ht="18" customHeight="1">
      <c r="A113" s="15">
        <v>111</v>
      </c>
      <c r="B113" s="15" t="s">
        <v>638</v>
      </c>
      <c r="C113" s="24" t="s">
        <v>331</v>
      </c>
      <c r="D113" s="74" t="s">
        <v>633</v>
      </c>
      <c r="E113" s="22" t="s">
        <v>332</v>
      </c>
      <c r="F113" s="19" t="s">
        <v>41</v>
      </c>
      <c r="G113" s="20" t="s">
        <v>634</v>
      </c>
      <c r="H113" s="19" t="s">
        <v>41</v>
      </c>
      <c r="I113" s="38" t="s">
        <v>635</v>
      </c>
      <c r="J113" s="40">
        <v>48</v>
      </c>
      <c r="K113" s="39">
        <v>7.26</v>
      </c>
      <c r="L113" s="39">
        <v>7.26</v>
      </c>
      <c r="M113" s="39">
        <v>7.26</v>
      </c>
      <c r="N113" s="39">
        <v>7.26</v>
      </c>
      <c r="O113" s="15">
        <v>1</v>
      </c>
      <c r="P113" s="37">
        <v>0.22</v>
      </c>
      <c r="Q113" s="37">
        <f t="shared" si="1"/>
        <v>10.56</v>
      </c>
      <c r="R113" s="58">
        <v>9021109000</v>
      </c>
      <c r="S113" s="55">
        <v>0</v>
      </c>
      <c r="T113" s="101" t="s">
        <v>636</v>
      </c>
      <c r="U113" s="101">
        <v>10.99</v>
      </c>
      <c r="V113" s="101">
        <v>0.12</v>
      </c>
      <c r="W113" s="57" t="s">
        <v>335</v>
      </c>
    </row>
    <row r="114" spans="1:23" s="3" customFormat="1" ht="18" customHeight="1">
      <c r="A114" s="15">
        <v>112</v>
      </c>
      <c r="B114" s="15" t="s">
        <v>639</v>
      </c>
      <c r="C114" s="24" t="s">
        <v>331</v>
      </c>
      <c r="D114" s="74" t="s">
        <v>633</v>
      </c>
      <c r="E114" s="22" t="s">
        <v>332</v>
      </c>
      <c r="F114" s="19" t="s">
        <v>41</v>
      </c>
      <c r="G114" s="20" t="s">
        <v>634</v>
      </c>
      <c r="H114" s="19" t="s">
        <v>41</v>
      </c>
      <c r="I114" s="38" t="s">
        <v>635</v>
      </c>
      <c r="J114" s="40">
        <v>46</v>
      </c>
      <c r="K114" s="39">
        <v>7.02</v>
      </c>
      <c r="L114" s="39">
        <v>7.02</v>
      </c>
      <c r="M114" s="39">
        <v>7.02</v>
      </c>
      <c r="N114" s="39">
        <v>7.02</v>
      </c>
      <c r="O114" s="15">
        <v>1</v>
      </c>
      <c r="P114" s="37">
        <v>0.22</v>
      </c>
      <c r="Q114" s="37">
        <f t="shared" si="1"/>
        <v>10.119999999999999</v>
      </c>
      <c r="R114" s="58">
        <v>9021109000</v>
      </c>
      <c r="S114" s="55">
        <v>0</v>
      </c>
      <c r="T114" s="101" t="s">
        <v>636</v>
      </c>
      <c r="U114" s="101">
        <v>10.99</v>
      </c>
      <c r="V114" s="101">
        <v>0.12</v>
      </c>
      <c r="W114" s="57" t="s">
        <v>335</v>
      </c>
    </row>
    <row r="115" spans="1:23" s="3" customFormat="1" ht="18" customHeight="1">
      <c r="A115" s="15">
        <v>113</v>
      </c>
      <c r="B115" s="340" t="s">
        <v>640</v>
      </c>
      <c r="C115" s="24" t="s">
        <v>340</v>
      </c>
      <c r="D115" s="16" t="s">
        <v>641</v>
      </c>
      <c r="E115" s="15" t="s">
        <v>642</v>
      </c>
      <c r="F115" s="75" t="s">
        <v>342</v>
      </c>
      <c r="G115" s="76" t="s">
        <v>343</v>
      </c>
      <c r="H115" s="19" t="s">
        <v>41</v>
      </c>
      <c r="I115" s="41" t="s">
        <v>643</v>
      </c>
      <c r="J115" s="15">
        <v>100</v>
      </c>
      <c r="K115" s="85">
        <v>7.53</v>
      </c>
      <c r="L115" s="85">
        <v>7.53</v>
      </c>
      <c r="M115" s="39">
        <v>7.53</v>
      </c>
      <c r="N115" s="39">
        <v>7.53</v>
      </c>
      <c r="O115" s="339">
        <v>1</v>
      </c>
      <c r="P115" s="37">
        <v>0.15</v>
      </c>
      <c r="Q115" s="37">
        <f t="shared" si="1"/>
        <v>15</v>
      </c>
      <c r="R115" s="58">
        <v>8443999000</v>
      </c>
      <c r="S115" s="55">
        <v>0</v>
      </c>
      <c r="T115" s="101" t="s">
        <v>644</v>
      </c>
      <c r="U115" s="101">
        <v>9.99</v>
      </c>
      <c r="V115" s="101">
        <v>0.06</v>
      </c>
      <c r="W115" s="102" t="s">
        <v>345</v>
      </c>
    </row>
    <row r="116" spans="1:23" s="3" customFormat="1" ht="18" customHeight="1">
      <c r="A116" s="15">
        <v>114</v>
      </c>
      <c r="B116" s="340"/>
      <c r="C116" s="24" t="s">
        <v>346</v>
      </c>
      <c r="D116" s="16" t="s">
        <v>645</v>
      </c>
      <c r="E116" s="18" t="s">
        <v>646</v>
      </c>
      <c r="F116" s="75" t="s">
        <v>348</v>
      </c>
      <c r="G116" s="76" t="s">
        <v>647</v>
      </c>
      <c r="H116" s="19" t="s">
        <v>41</v>
      </c>
      <c r="I116" s="86" t="s">
        <v>350</v>
      </c>
      <c r="J116" s="15">
        <v>89</v>
      </c>
      <c r="K116" s="39">
        <v>19.3</v>
      </c>
      <c r="L116" s="39">
        <v>19.3</v>
      </c>
      <c r="M116" s="39">
        <v>19.3</v>
      </c>
      <c r="N116" s="39">
        <v>19.3</v>
      </c>
      <c r="O116" s="339"/>
      <c r="P116" s="37">
        <v>0.11</v>
      </c>
      <c r="Q116" s="37">
        <f t="shared" si="1"/>
        <v>9.7900000000000009</v>
      </c>
      <c r="R116" s="58">
        <v>3923299000</v>
      </c>
      <c r="S116" s="55">
        <v>6.5000000000000002E-2</v>
      </c>
      <c r="T116" s="103" t="s">
        <v>648</v>
      </c>
      <c r="U116" s="103">
        <v>6.99</v>
      </c>
      <c r="V116" s="103">
        <v>0.2</v>
      </c>
      <c r="W116" s="56" t="s">
        <v>351</v>
      </c>
    </row>
    <row r="117" spans="1:23" s="3" customFormat="1" ht="18" customHeight="1">
      <c r="A117" s="15">
        <v>115</v>
      </c>
      <c r="B117" s="25" t="s">
        <v>649</v>
      </c>
      <c r="C117" s="24" t="s">
        <v>346</v>
      </c>
      <c r="D117" s="16" t="s">
        <v>645</v>
      </c>
      <c r="E117" s="18" t="s">
        <v>646</v>
      </c>
      <c r="F117" s="75" t="s">
        <v>348</v>
      </c>
      <c r="G117" s="76" t="s">
        <v>647</v>
      </c>
      <c r="H117" s="19" t="s">
        <v>41</v>
      </c>
      <c r="I117" s="86" t="s">
        <v>350</v>
      </c>
      <c r="J117" s="15">
        <v>89</v>
      </c>
      <c r="K117" s="39">
        <v>19.3</v>
      </c>
      <c r="L117" s="39">
        <v>19.3</v>
      </c>
      <c r="M117" s="39">
        <v>19.3</v>
      </c>
      <c r="N117" s="39">
        <v>19.3</v>
      </c>
      <c r="O117" s="26">
        <v>1</v>
      </c>
      <c r="P117" s="37">
        <v>0.11</v>
      </c>
      <c r="Q117" s="37">
        <f t="shared" si="1"/>
        <v>9.7900000000000009</v>
      </c>
      <c r="R117" s="58">
        <v>3923299000</v>
      </c>
      <c r="S117" s="55">
        <v>6.5000000000000002E-2</v>
      </c>
      <c r="T117" s="103" t="s">
        <v>648</v>
      </c>
      <c r="U117" s="103">
        <v>6.99</v>
      </c>
      <c r="V117" s="103">
        <v>0.2</v>
      </c>
      <c r="W117" s="104" t="s">
        <v>351</v>
      </c>
    </row>
    <row r="118" spans="1:23" s="3" customFormat="1" ht="18" customHeight="1">
      <c r="A118" s="15">
        <v>116</v>
      </c>
      <c r="B118" s="25" t="s">
        <v>650</v>
      </c>
      <c r="C118" s="24" t="s">
        <v>346</v>
      </c>
      <c r="D118" s="16" t="s">
        <v>645</v>
      </c>
      <c r="E118" s="18" t="s">
        <v>646</v>
      </c>
      <c r="F118" s="75" t="s">
        <v>348</v>
      </c>
      <c r="G118" s="76" t="s">
        <v>647</v>
      </c>
      <c r="H118" s="19" t="s">
        <v>41</v>
      </c>
      <c r="I118" s="86" t="s">
        <v>350</v>
      </c>
      <c r="J118" s="15">
        <v>89</v>
      </c>
      <c r="K118" s="39">
        <v>19.3</v>
      </c>
      <c r="L118" s="39">
        <v>19.3</v>
      </c>
      <c r="M118" s="39">
        <v>19.3</v>
      </c>
      <c r="N118" s="39">
        <v>19.3</v>
      </c>
      <c r="O118" s="26">
        <v>1</v>
      </c>
      <c r="P118" s="37">
        <v>0.11</v>
      </c>
      <c r="Q118" s="37">
        <f t="shared" si="1"/>
        <v>9.7900000000000009</v>
      </c>
      <c r="R118" s="58">
        <v>3923299000</v>
      </c>
      <c r="S118" s="55">
        <v>6.5000000000000002E-2</v>
      </c>
      <c r="T118" s="103" t="s">
        <v>648</v>
      </c>
      <c r="U118" s="103">
        <v>6.99</v>
      </c>
      <c r="V118" s="103">
        <v>0.2</v>
      </c>
      <c r="W118" s="105" t="s">
        <v>351</v>
      </c>
    </row>
    <row r="119" spans="1:23" s="3" customFormat="1" ht="18" customHeight="1">
      <c r="A119" s="15">
        <v>117</v>
      </c>
      <c r="B119" s="25" t="s">
        <v>651</v>
      </c>
      <c r="C119" s="24" t="s">
        <v>346</v>
      </c>
      <c r="D119" s="16" t="s">
        <v>645</v>
      </c>
      <c r="E119" s="18" t="s">
        <v>646</v>
      </c>
      <c r="F119" s="75" t="s">
        <v>348</v>
      </c>
      <c r="G119" s="76" t="s">
        <v>647</v>
      </c>
      <c r="H119" s="19" t="s">
        <v>41</v>
      </c>
      <c r="I119" s="86" t="s">
        <v>350</v>
      </c>
      <c r="J119" s="15">
        <v>89</v>
      </c>
      <c r="K119" s="39">
        <v>19.3</v>
      </c>
      <c r="L119" s="39">
        <v>19.3</v>
      </c>
      <c r="M119" s="39">
        <v>19.3</v>
      </c>
      <c r="N119" s="39">
        <v>19.3</v>
      </c>
      <c r="O119" s="26">
        <v>1</v>
      </c>
      <c r="P119" s="37">
        <v>0.11</v>
      </c>
      <c r="Q119" s="37">
        <f t="shared" si="1"/>
        <v>9.7900000000000009</v>
      </c>
      <c r="R119" s="58">
        <v>3923299000</v>
      </c>
      <c r="S119" s="55">
        <v>6.5000000000000002E-2</v>
      </c>
      <c r="T119" s="103" t="s">
        <v>648</v>
      </c>
      <c r="U119" s="103">
        <v>6.99</v>
      </c>
      <c r="V119" s="103">
        <v>0.2</v>
      </c>
      <c r="W119" s="104" t="s">
        <v>351</v>
      </c>
    </row>
    <row r="120" spans="1:23" s="3" customFormat="1" ht="18" customHeight="1">
      <c r="A120" s="15">
        <v>118</v>
      </c>
      <c r="B120" s="25" t="s">
        <v>652</v>
      </c>
      <c r="C120" s="24" t="s">
        <v>346</v>
      </c>
      <c r="D120" s="16" t="s">
        <v>645</v>
      </c>
      <c r="E120" s="18" t="s">
        <v>646</v>
      </c>
      <c r="F120" s="75" t="s">
        <v>348</v>
      </c>
      <c r="G120" s="76" t="s">
        <v>647</v>
      </c>
      <c r="H120" s="19" t="s">
        <v>41</v>
      </c>
      <c r="I120" s="87" t="s">
        <v>350</v>
      </c>
      <c r="J120" s="15">
        <v>89</v>
      </c>
      <c r="K120" s="39">
        <v>19.3</v>
      </c>
      <c r="L120" s="39">
        <v>19.3</v>
      </c>
      <c r="M120" s="39">
        <v>19.3</v>
      </c>
      <c r="N120" s="39">
        <v>19.3</v>
      </c>
      <c r="O120" s="26">
        <v>1</v>
      </c>
      <c r="P120" s="37">
        <v>0.11</v>
      </c>
      <c r="Q120" s="37">
        <f t="shared" si="1"/>
        <v>9.7900000000000009</v>
      </c>
      <c r="R120" s="54">
        <v>3923299000</v>
      </c>
      <c r="S120" s="55">
        <v>6.5000000000000002E-2</v>
      </c>
      <c r="T120" s="103" t="s">
        <v>648</v>
      </c>
      <c r="U120" s="103">
        <v>6.99</v>
      </c>
      <c r="V120" s="103">
        <v>0.2</v>
      </c>
      <c r="W120" s="104" t="s">
        <v>351</v>
      </c>
    </row>
    <row r="121" spans="1:23" s="3" customFormat="1" ht="18" customHeight="1">
      <c r="A121" s="15">
        <v>119</v>
      </c>
      <c r="B121" s="15" t="s">
        <v>653</v>
      </c>
      <c r="C121" s="24" t="s">
        <v>357</v>
      </c>
      <c r="D121" s="16" t="s">
        <v>357</v>
      </c>
      <c r="E121" s="22" t="s">
        <v>358</v>
      </c>
      <c r="F121" s="76" t="s">
        <v>41</v>
      </c>
      <c r="G121" s="75" t="s">
        <v>359</v>
      </c>
      <c r="H121" s="19" t="s">
        <v>41</v>
      </c>
      <c r="I121" s="69" t="s">
        <v>654</v>
      </c>
      <c r="J121" s="15">
        <v>9</v>
      </c>
      <c r="K121" s="39">
        <v>9.06</v>
      </c>
      <c r="L121" s="85">
        <v>9.06</v>
      </c>
      <c r="M121" s="34">
        <v>4.5</v>
      </c>
      <c r="N121" s="39">
        <v>4.5</v>
      </c>
      <c r="O121" s="26">
        <v>1</v>
      </c>
      <c r="P121" s="37">
        <v>1.32</v>
      </c>
      <c r="Q121" s="37">
        <f t="shared" si="1"/>
        <v>11.88</v>
      </c>
      <c r="R121" s="54">
        <v>9205909000</v>
      </c>
      <c r="S121" s="55">
        <v>3.2000000000000001E-2</v>
      </c>
      <c r="T121" s="103" t="s">
        <v>655</v>
      </c>
      <c r="U121" s="103">
        <v>18.989999999999998</v>
      </c>
      <c r="V121" s="103">
        <v>0.84</v>
      </c>
      <c r="W121" s="106" t="s">
        <v>361</v>
      </c>
    </row>
    <row r="122" spans="1:23" s="3" customFormat="1" ht="18" customHeight="1">
      <c r="A122" s="15">
        <v>120</v>
      </c>
      <c r="B122" s="15" t="s">
        <v>656</v>
      </c>
      <c r="C122" s="24" t="s">
        <v>357</v>
      </c>
      <c r="D122" s="16" t="s">
        <v>357</v>
      </c>
      <c r="E122" s="22" t="s">
        <v>358</v>
      </c>
      <c r="F122" s="76" t="s">
        <v>41</v>
      </c>
      <c r="G122" s="75" t="s">
        <v>359</v>
      </c>
      <c r="H122" s="19" t="s">
        <v>41</v>
      </c>
      <c r="I122" s="69" t="s">
        <v>654</v>
      </c>
      <c r="J122" s="15">
        <v>11</v>
      </c>
      <c r="K122" s="39">
        <v>10.74</v>
      </c>
      <c r="L122" s="85">
        <v>10.74</v>
      </c>
      <c r="M122" s="34">
        <v>5.5</v>
      </c>
      <c r="N122" s="39">
        <v>5.5</v>
      </c>
      <c r="O122" s="26">
        <v>1</v>
      </c>
      <c r="P122" s="37">
        <v>1.32</v>
      </c>
      <c r="Q122" s="37">
        <f t="shared" si="1"/>
        <v>14.520000000000001</v>
      </c>
      <c r="R122" s="54">
        <v>9205909000</v>
      </c>
      <c r="S122" s="55">
        <v>3.2000000000000001E-2</v>
      </c>
      <c r="T122" s="103" t="s">
        <v>655</v>
      </c>
      <c r="U122" s="103">
        <v>18.989999999999998</v>
      </c>
      <c r="V122" s="103">
        <v>0.84</v>
      </c>
      <c r="W122" s="107" t="s">
        <v>361</v>
      </c>
    </row>
    <row r="123" spans="1:23" s="3" customFormat="1" ht="18" customHeight="1">
      <c r="A123" s="15">
        <v>121</v>
      </c>
      <c r="B123" s="15" t="s">
        <v>657</v>
      </c>
      <c r="C123" s="24" t="s">
        <v>357</v>
      </c>
      <c r="D123" s="16" t="s">
        <v>357</v>
      </c>
      <c r="E123" s="22" t="s">
        <v>358</v>
      </c>
      <c r="F123" s="76" t="s">
        <v>41</v>
      </c>
      <c r="G123" s="75" t="s">
        <v>359</v>
      </c>
      <c r="H123" s="19" t="s">
        <v>41</v>
      </c>
      <c r="I123" s="69" t="s">
        <v>654</v>
      </c>
      <c r="J123" s="15">
        <v>10</v>
      </c>
      <c r="K123" s="39">
        <v>9.9</v>
      </c>
      <c r="L123" s="85">
        <v>9.9</v>
      </c>
      <c r="M123" s="34">
        <v>5</v>
      </c>
      <c r="N123" s="39">
        <v>5</v>
      </c>
      <c r="O123" s="26">
        <v>1</v>
      </c>
      <c r="P123" s="37">
        <v>1.32</v>
      </c>
      <c r="Q123" s="37">
        <f t="shared" si="1"/>
        <v>13.200000000000001</v>
      </c>
      <c r="R123" s="54">
        <v>9205909000</v>
      </c>
      <c r="S123" s="55">
        <v>3.2000000000000001E-2</v>
      </c>
      <c r="T123" s="103" t="s">
        <v>655</v>
      </c>
      <c r="U123" s="103">
        <v>18.989999999999998</v>
      </c>
      <c r="V123" s="103">
        <v>0.84</v>
      </c>
      <c r="W123" s="107" t="s">
        <v>361</v>
      </c>
    </row>
    <row r="124" spans="1:23" s="3" customFormat="1" ht="18" customHeight="1">
      <c r="A124" s="15">
        <v>122</v>
      </c>
      <c r="B124" s="15" t="s">
        <v>658</v>
      </c>
      <c r="C124" s="77" t="s">
        <v>365</v>
      </c>
      <c r="D124" s="16" t="s">
        <v>659</v>
      </c>
      <c r="E124" s="18" t="s">
        <v>660</v>
      </c>
      <c r="F124" s="78" t="s">
        <v>41</v>
      </c>
      <c r="G124" s="79" t="s">
        <v>367</v>
      </c>
      <c r="H124" s="80" t="s">
        <v>41</v>
      </c>
      <c r="I124" s="33" t="s">
        <v>368</v>
      </c>
      <c r="J124" s="15">
        <v>216</v>
      </c>
      <c r="K124" s="85">
        <v>33.9</v>
      </c>
      <c r="L124" s="34">
        <v>6.48</v>
      </c>
      <c r="M124" s="39">
        <v>6.48</v>
      </c>
      <c r="N124" s="39">
        <v>6.48</v>
      </c>
      <c r="O124" s="25">
        <v>1</v>
      </c>
      <c r="P124" s="37">
        <v>0.26</v>
      </c>
      <c r="Q124" s="37">
        <f t="shared" si="1"/>
        <v>56.160000000000004</v>
      </c>
      <c r="R124" s="54">
        <v>6208990099</v>
      </c>
      <c r="S124" s="55">
        <v>0.12</v>
      </c>
      <c r="T124" s="108" t="s">
        <v>661</v>
      </c>
      <c r="U124" s="108">
        <v>1.99</v>
      </c>
      <c r="V124" s="108">
        <v>0.15</v>
      </c>
      <c r="W124" s="109" t="s">
        <v>369</v>
      </c>
    </row>
    <row r="125" spans="1:23" s="3" customFormat="1" ht="18" customHeight="1">
      <c r="A125" s="15">
        <v>123</v>
      </c>
      <c r="B125" s="15" t="s">
        <v>662</v>
      </c>
      <c r="C125" s="77" t="s">
        <v>365</v>
      </c>
      <c r="D125" s="16" t="s">
        <v>659</v>
      </c>
      <c r="E125" s="18" t="s">
        <v>660</v>
      </c>
      <c r="F125" s="78" t="s">
        <v>41</v>
      </c>
      <c r="G125" s="79" t="s">
        <v>367</v>
      </c>
      <c r="H125" s="80" t="s">
        <v>41</v>
      </c>
      <c r="I125" s="33" t="s">
        <v>368</v>
      </c>
      <c r="J125" s="15">
        <v>216</v>
      </c>
      <c r="K125" s="85">
        <v>33.9</v>
      </c>
      <c r="L125" s="34">
        <v>6.48</v>
      </c>
      <c r="M125" s="39">
        <v>6.48</v>
      </c>
      <c r="N125" s="39">
        <v>6.48</v>
      </c>
      <c r="O125" s="25">
        <v>1</v>
      </c>
      <c r="P125" s="37">
        <v>0.26</v>
      </c>
      <c r="Q125" s="37">
        <f t="shared" si="1"/>
        <v>56.160000000000004</v>
      </c>
      <c r="R125" s="54">
        <v>6208990099</v>
      </c>
      <c r="S125" s="55">
        <v>0.12</v>
      </c>
      <c r="T125" s="108" t="s">
        <v>661</v>
      </c>
      <c r="U125" s="108">
        <v>1.99</v>
      </c>
      <c r="V125" s="108">
        <v>0.15</v>
      </c>
      <c r="W125" s="110" t="s">
        <v>369</v>
      </c>
    </row>
    <row r="126" spans="1:23" s="3" customFormat="1" ht="18" customHeight="1">
      <c r="A126" s="15">
        <v>124</v>
      </c>
      <c r="B126" s="15" t="s">
        <v>663</v>
      </c>
      <c r="C126" s="77" t="s">
        <v>365</v>
      </c>
      <c r="D126" s="16" t="s">
        <v>659</v>
      </c>
      <c r="E126" s="18" t="s">
        <v>660</v>
      </c>
      <c r="F126" s="78" t="s">
        <v>41</v>
      </c>
      <c r="G126" s="79" t="s">
        <v>367</v>
      </c>
      <c r="H126" s="80" t="s">
        <v>41</v>
      </c>
      <c r="I126" s="33" t="s">
        <v>368</v>
      </c>
      <c r="J126" s="15">
        <v>216</v>
      </c>
      <c r="K126" s="85">
        <v>33.9</v>
      </c>
      <c r="L126" s="34">
        <v>6.48</v>
      </c>
      <c r="M126" s="39">
        <v>6.48</v>
      </c>
      <c r="N126" s="39">
        <v>6.48</v>
      </c>
      <c r="O126" s="25">
        <v>1</v>
      </c>
      <c r="P126" s="37">
        <v>0.26</v>
      </c>
      <c r="Q126" s="37">
        <f t="shared" si="1"/>
        <v>56.160000000000004</v>
      </c>
      <c r="R126" s="54">
        <v>6208990099</v>
      </c>
      <c r="S126" s="55">
        <v>0.12</v>
      </c>
      <c r="T126" s="108" t="s">
        <v>661</v>
      </c>
      <c r="U126" s="108">
        <v>1.99</v>
      </c>
      <c r="V126" s="108">
        <v>0.15</v>
      </c>
      <c r="W126" s="110" t="s">
        <v>369</v>
      </c>
    </row>
    <row r="127" spans="1:23" s="3" customFormat="1" ht="18" customHeight="1">
      <c r="A127" s="15">
        <v>125</v>
      </c>
      <c r="B127" s="23" t="s">
        <v>664</v>
      </c>
      <c r="C127" s="24" t="s">
        <v>80</v>
      </c>
      <c r="D127" s="16" t="s">
        <v>463</v>
      </c>
      <c r="E127" s="22" t="s">
        <v>81</v>
      </c>
      <c r="F127" s="19" t="s">
        <v>41</v>
      </c>
      <c r="G127" s="20" t="s">
        <v>464</v>
      </c>
      <c r="H127" s="19" t="s">
        <v>41</v>
      </c>
      <c r="I127" s="16" t="s">
        <v>665</v>
      </c>
      <c r="J127" s="42">
        <v>128</v>
      </c>
      <c r="K127" s="39">
        <v>7.26</v>
      </c>
      <c r="L127" s="39">
        <v>7.26</v>
      </c>
      <c r="M127" s="39">
        <v>7.26</v>
      </c>
      <c r="N127" s="39">
        <v>7.26</v>
      </c>
      <c r="O127" s="25">
        <v>1</v>
      </c>
      <c r="P127" s="37">
        <v>0.08</v>
      </c>
      <c r="Q127" s="37">
        <f t="shared" si="1"/>
        <v>10.24</v>
      </c>
      <c r="R127" s="54">
        <v>9609909000</v>
      </c>
      <c r="S127" s="55">
        <v>1.7000000000000001E-2</v>
      </c>
      <c r="T127" s="16" t="s">
        <v>466</v>
      </c>
      <c r="U127" s="16">
        <v>7.99</v>
      </c>
      <c r="V127" s="16">
        <v>4.4999999999999998E-2</v>
      </c>
      <c r="W127" s="111" t="s">
        <v>375</v>
      </c>
    </row>
    <row r="128" spans="1:23" s="3" customFormat="1" ht="18" customHeight="1">
      <c r="A128" s="15">
        <v>126</v>
      </c>
      <c r="B128" s="23" t="s">
        <v>666</v>
      </c>
      <c r="C128" s="24" t="s">
        <v>80</v>
      </c>
      <c r="D128" s="16" t="s">
        <v>463</v>
      </c>
      <c r="E128" s="22" t="s">
        <v>81</v>
      </c>
      <c r="F128" s="19" t="s">
        <v>41</v>
      </c>
      <c r="G128" s="20" t="s">
        <v>464</v>
      </c>
      <c r="H128" s="19" t="s">
        <v>41</v>
      </c>
      <c r="I128" s="16" t="s">
        <v>665</v>
      </c>
      <c r="J128" s="42">
        <v>128</v>
      </c>
      <c r="K128" s="39">
        <v>7.26</v>
      </c>
      <c r="L128" s="39">
        <v>7.26</v>
      </c>
      <c r="M128" s="39">
        <v>7.26</v>
      </c>
      <c r="N128" s="39">
        <v>7.26</v>
      </c>
      <c r="O128" s="25">
        <v>1</v>
      </c>
      <c r="P128" s="37">
        <v>0.08</v>
      </c>
      <c r="Q128" s="37">
        <f t="shared" si="1"/>
        <v>10.24</v>
      </c>
      <c r="R128" s="54">
        <v>9609909000</v>
      </c>
      <c r="S128" s="55">
        <v>1.7000000000000001E-2</v>
      </c>
      <c r="T128" s="16" t="s">
        <v>466</v>
      </c>
      <c r="U128" s="16">
        <v>7.99</v>
      </c>
      <c r="V128" s="16">
        <v>4.4999999999999998E-2</v>
      </c>
      <c r="W128" s="111" t="s">
        <v>375</v>
      </c>
    </row>
    <row r="129" spans="1:23" s="3" customFormat="1" ht="18" customHeight="1">
      <c r="A129" s="15">
        <v>127</v>
      </c>
      <c r="B129" s="23" t="s">
        <v>667</v>
      </c>
      <c r="C129" s="24" t="s">
        <v>80</v>
      </c>
      <c r="D129" s="16" t="s">
        <v>463</v>
      </c>
      <c r="E129" s="22" t="s">
        <v>81</v>
      </c>
      <c r="F129" s="19" t="s">
        <v>41</v>
      </c>
      <c r="G129" s="20" t="s">
        <v>464</v>
      </c>
      <c r="H129" s="19" t="s">
        <v>41</v>
      </c>
      <c r="I129" s="16" t="s">
        <v>665</v>
      </c>
      <c r="J129" s="42">
        <v>128</v>
      </c>
      <c r="K129" s="39">
        <v>7.26</v>
      </c>
      <c r="L129" s="39">
        <v>7.26</v>
      </c>
      <c r="M129" s="39">
        <v>7.26</v>
      </c>
      <c r="N129" s="39">
        <v>7.26</v>
      </c>
      <c r="O129" s="25">
        <v>1</v>
      </c>
      <c r="P129" s="37">
        <v>0.08</v>
      </c>
      <c r="Q129" s="37">
        <f t="shared" si="1"/>
        <v>10.24</v>
      </c>
      <c r="R129" s="54">
        <v>9609909000</v>
      </c>
      <c r="S129" s="55">
        <v>1.7000000000000001E-2</v>
      </c>
      <c r="T129" s="16" t="s">
        <v>466</v>
      </c>
      <c r="U129" s="16">
        <v>7.99</v>
      </c>
      <c r="V129" s="16">
        <v>4.4999999999999998E-2</v>
      </c>
      <c r="W129" s="111" t="s">
        <v>375</v>
      </c>
    </row>
    <row r="130" spans="1:23" s="3" customFormat="1" ht="18" customHeight="1">
      <c r="A130" s="15">
        <v>128</v>
      </c>
      <c r="B130" s="23" t="s">
        <v>668</v>
      </c>
      <c r="C130" s="24" t="s">
        <v>80</v>
      </c>
      <c r="D130" s="16" t="s">
        <v>463</v>
      </c>
      <c r="E130" s="22" t="s">
        <v>81</v>
      </c>
      <c r="F130" s="19" t="s">
        <v>41</v>
      </c>
      <c r="G130" s="20" t="s">
        <v>464</v>
      </c>
      <c r="H130" s="19" t="s">
        <v>41</v>
      </c>
      <c r="I130" s="16" t="s">
        <v>665</v>
      </c>
      <c r="J130" s="42">
        <v>128</v>
      </c>
      <c r="K130" s="39">
        <v>7.26</v>
      </c>
      <c r="L130" s="39">
        <v>7.26</v>
      </c>
      <c r="M130" s="39">
        <v>7.26</v>
      </c>
      <c r="N130" s="39">
        <v>7.26</v>
      </c>
      <c r="O130" s="25">
        <v>1</v>
      </c>
      <c r="P130" s="37">
        <v>0.08</v>
      </c>
      <c r="Q130" s="37">
        <f t="shared" si="1"/>
        <v>10.24</v>
      </c>
      <c r="R130" s="54">
        <v>9609909000</v>
      </c>
      <c r="S130" s="55">
        <v>1.7000000000000001E-2</v>
      </c>
      <c r="T130" s="16" t="s">
        <v>466</v>
      </c>
      <c r="U130" s="16">
        <v>7.99</v>
      </c>
      <c r="V130" s="16">
        <v>4.4999999999999998E-2</v>
      </c>
      <c r="W130" s="111" t="s">
        <v>375</v>
      </c>
    </row>
    <row r="131" spans="1:23" s="3" customFormat="1" ht="18" customHeight="1">
      <c r="A131" s="15">
        <v>129</v>
      </c>
      <c r="B131" s="23" t="s">
        <v>669</v>
      </c>
      <c r="C131" s="24" t="s">
        <v>80</v>
      </c>
      <c r="D131" s="16" t="s">
        <v>463</v>
      </c>
      <c r="E131" s="22" t="s">
        <v>81</v>
      </c>
      <c r="F131" s="19" t="s">
        <v>41</v>
      </c>
      <c r="G131" s="20" t="s">
        <v>464</v>
      </c>
      <c r="H131" s="19" t="s">
        <v>41</v>
      </c>
      <c r="I131" s="16" t="s">
        <v>665</v>
      </c>
      <c r="J131" s="42">
        <v>128</v>
      </c>
      <c r="K131" s="39">
        <v>7.26</v>
      </c>
      <c r="L131" s="39">
        <v>7.26</v>
      </c>
      <c r="M131" s="39">
        <v>7.26</v>
      </c>
      <c r="N131" s="39">
        <v>7.26</v>
      </c>
      <c r="O131" s="25">
        <v>1</v>
      </c>
      <c r="P131" s="37">
        <v>0.08</v>
      </c>
      <c r="Q131" s="37">
        <f t="shared" ref="Q131:Q143" si="2">P131*J131</f>
        <v>10.24</v>
      </c>
      <c r="R131" s="54">
        <v>9609909000</v>
      </c>
      <c r="S131" s="55">
        <v>1.7000000000000001E-2</v>
      </c>
      <c r="T131" s="16" t="s">
        <v>466</v>
      </c>
      <c r="U131" s="16">
        <v>7.99</v>
      </c>
      <c r="V131" s="16">
        <v>4.4999999999999998E-2</v>
      </c>
      <c r="W131" s="111" t="s">
        <v>375</v>
      </c>
    </row>
    <row r="132" spans="1:23" s="3" customFormat="1" ht="18" customHeight="1">
      <c r="A132" s="15">
        <v>130</v>
      </c>
      <c r="B132" s="23" t="s">
        <v>670</v>
      </c>
      <c r="C132" s="24" t="s">
        <v>80</v>
      </c>
      <c r="D132" s="16" t="s">
        <v>463</v>
      </c>
      <c r="E132" s="22" t="s">
        <v>81</v>
      </c>
      <c r="F132" s="19" t="s">
        <v>41</v>
      </c>
      <c r="G132" s="20" t="s">
        <v>464</v>
      </c>
      <c r="H132" s="19" t="s">
        <v>41</v>
      </c>
      <c r="I132" s="16" t="s">
        <v>665</v>
      </c>
      <c r="J132" s="42">
        <v>128</v>
      </c>
      <c r="K132" s="39">
        <v>7.26</v>
      </c>
      <c r="L132" s="39">
        <v>7.26</v>
      </c>
      <c r="M132" s="39">
        <v>7.26</v>
      </c>
      <c r="N132" s="39">
        <v>7.26</v>
      </c>
      <c r="O132" s="25">
        <v>1</v>
      </c>
      <c r="P132" s="37">
        <v>0.08</v>
      </c>
      <c r="Q132" s="37">
        <f t="shared" si="2"/>
        <v>10.24</v>
      </c>
      <c r="R132" s="54">
        <v>9609909000</v>
      </c>
      <c r="S132" s="55">
        <v>1.7000000000000001E-2</v>
      </c>
      <c r="T132" s="16" t="s">
        <v>466</v>
      </c>
      <c r="U132" s="16">
        <v>7.99</v>
      </c>
      <c r="V132" s="16">
        <v>4.4999999999999998E-2</v>
      </c>
      <c r="W132" s="111" t="s">
        <v>375</v>
      </c>
    </row>
    <row r="133" spans="1:23" s="3" customFormat="1" ht="18" customHeight="1">
      <c r="A133" s="15">
        <v>131</v>
      </c>
      <c r="B133" s="23" t="s">
        <v>671</v>
      </c>
      <c r="C133" s="24" t="s">
        <v>80</v>
      </c>
      <c r="D133" s="16" t="s">
        <v>463</v>
      </c>
      <c r="E133" s="22" t="s">
        <v>81</v>
      </c>
      <c r="F133" s="19" t="s">
        <v>41</v>
      </c>
      <c r="G133" s="20" t="s">
        <v>464</v>
      </c>
      <c r="H133" s="19" t="s">
        <v>41</v>
      </c>
      <c r="I133" s="16" t="s">
        <v>665</v>
      </c>
      <c r="J133" s="42">
        <v>128</v>
      </c>
      <c r="K133" s="39">
        <v>7.26</v>
      </c>
      <c r="L133" s="39">
        <v>7.26</v>
      </c>
      <c r="M133" s="39">
        <v>7.26</v>
      </c>
      <c r="N133" s="39">
        <v>7.26</v>
      </c>
      <c r="O133" s="25">
        <v>1</v>
      </c>
      <c r="P133" s="37">
        <v>0.08</v>
      </c>
      <c r="Q133" s="37">
        <f t="shared" si="2"/>
        <v>10.24</v>
      </c>
      <c r="R133" s="54">
        <v>9609909000</v>
      </c>
      <c r="S133" s="55">
        <v>1.7000000000000001E-2</v>
      </c>
      <c r="T133" s="16" t="s">
        <v>466</v>
      </c>
      <c r="U133" s="16">
        <v>7.99</v>
      </c>
      <c r="V133" s="16">
        <v>4.4999999999999998E-2</v>
      </c>
      <c r="W133" s="111" t="s">
        <v>375</v>
      </c>
    </row>
    <row r="134" spans="1:23" s="3" customFormat="1" ht="18" customHeight="1">
      <c r="A134" s="15">
        <v>132</v>
      </c>
      <c r="B134" s="23" t="s">
        <v>672</v>
      </c>
      <c r="C134" s="24" t="s">
        <v>383</v>
      </c>
      <c r="D134" s="16" t="s">
        <v>673</v>
      </c>
      <c r="E134" s="20" t="s">
        <v>384</v>
      </c>
      <c r="F134" s="112" t="s">
        <v>41</v>
      </c>
      <c r="G134" s="20" t="s">
        <v>674</v>
      </c>
      <c r="H134" s="112" t="s">
        <v>41</v>
      </c>
      <c r="I134" s="16" t="s">
        <v>675</v>
      </c>
      <c r="J134" s="16">
        <v>200</v>
      </c>
      <c r="K134" s="85">
        <v>19.100000000000001</v>
      </c>
      <c r="L134" s="85">
        <v>19.100000000000001</v>
      </c>
      <c r="M134" s="39">
        <v>19.100000000000001</v>
      </c>
      <c r="N134" s="39">
        <v>19.100000000000001</v>
      </c>
      <c r="O134" s="26">
        <v>1</v>
      </c>
      <c r="P134" s="120">
        <v>0.11</v>
      </c>
      <c r="Q134" s="120">
        <f t="shared" si="2"/>
        <v>22</v>
      </c>
      <c r="R134" s="54">
        <v>8203200000</v>
      </c>
      <c r="S134" s="55">
        <v>1.7000000000000001E-2</v>
      </c>
      <c r="T134" s="131" t="s">
        <v>676</v>
      </c>
      <c r="U134" s="132">
        <v>17.989999999999998</v>
      </c>
      <c r="V134" s="132">
        <v>0.1</v>
      </c>
      <c r="W134" s="133" t="s">
        <v>387</v>
      </c>
    </row>
    <row r="135" spans="1:23" s="3" customFormat="1" ht="18" customHeight="1">
      <c r="A135" s="15">
        <v>133</v>
      </c>
      <c r="B135" s="23" t="s">
        <v>677</v>
      </c>
      <c r="C135" s="24" t="s">
        <v>383</v>
      </c>
      <c r="D135" s="16" t="s">
        <v>673</v>
      </c>
      <c r="E135" s="20" t="s">
        <v>384</v>
      </c>
      <c r="F135" s="112" t="s">
        <v>41</v>
      </c>
      <c r="G135" s="20" t="s">
        <v>674</v>
      </c>
      <c r="H135" s="112" t="s">
        <v>41</v>
      </c>
      <c r="I135" s="16" t="s">
        <v>675</v>
      </c>
      <c r="J135" s="16">
        <v>200</v>
      </c>
      <c r="K135" s="85">
        <v>19.100000000000001</v>
      </c>
      <c r="L135" s="85">
        <v>19.100000000000001</v>
      </c>
      <c r="M135" s="39">
        <v>19.100000000000001</v>
      </c>
      <c r="N135" s="39">
        <v>19.100000000000001</v>
      </c>
      <c r="O135" s="26">
        <v>1</v>
      </c>
      <c r="P135" s="120">
        <v>0.11</v>
      </c>
      <c r="Q135" s="120">
        <f t="shared" si="2"/>
        <v>22</v>
      </c>
      <c r="R135" s="54">
        <v>8203200000</v>
      </c>
      <c r="S135" s="55">
        <v>1.7000000000000001E-2</v>
      </c>
      <c r="T135" s="131" t="s">
        <v>676</v>
      </c>
      <c r="U135" s="132">
        <v>17.989999999999998</v>
      </c>
      <c r="V135" s="132">
        <v>0.1</v>
      </c>
      <c r="W135" s="133" t="s">
        <v>387</v>
      </c>
    </row>
    <row r="136" spans="1:23" s="3" customFormat="1" ht="18" customHeight="1">
      <c r="A136" s="15">
        <v>134</v>
      </c>
      <c r="B136" s="15" t="s">
        <v>678</v>
      </c>
      <c r="C136" s="24" t="s">
        <v>390</v>
      </c>
      <c r="D136" s="16" t="s">
        <v>679</v>
      </c>
      <c r="E136" s="20" t="s">
        <v>391</v>
      </c>
      <c r="F136" s="16" t="s">
        <v>392</v>
      </c>
      <c r="G136" s="16" t="s">
        <v>680</v>
      </c>
      <c r="H136" s="16" t="s">
        <v>392</v>
      </c>
      <c r="I136" s="26" t="s">
        <v>681</v>
      </c>
      <c r="J136" s="16">
        <v>50</v>
      </c>
      <c r="K136" s="85">
        <v>19.5</v>
      </c>
      <c r="L136" s="85">
        <v>19.5</v>
      </c>
      <c r="M136" s="34">
        <f>ROUND(L136*0.64,2)</f>
        <v>12.48</v>
      </c>
      <c r="N136" s="39">
        <v>12.48</v>
      </c>
      <c r="O136" s="26">
        <v>1</v>
      </c>
      <c r="P136" s="120">
        <v>0.25</v>
      </c>
      <c r="Q136" s="120">
        <f t="shared" si="2"/>
        <v>12.5</v>
      </c>
      <c r="R136" s="54">
        <v>8539500000</v>
      </c>
      <c r="S136" s="55">
        <v>3.6999999999999998E-2</v>
      </c>
      <c r="T136" s="103" t="s">
        <v>682</v>
      </c>
      <c r="U136" s="103">
        <v>14.99</v>
      </c>
      <c r="V136" s="103">
        <v>0.36</v>
      </c>
      <c r="W136" s="134" t="s">
        <v>395</v>
      </c>
    </row>
    <row r="137" spans="1:23" s="3" customFormat="1" ht="18" customHeight="1">
      <c r="A137" s="15">
        <v>135</v>
      </c>
      <c r="B137" s="15" t="s">
        <v>683</v>
      </c>
      <c r="C137" s="24" t="s">
        <v>390</v>
      </c>
      <c r="D137" s="16" t="s">
        <v>679</v>
      </c>
      <c r="E137" s="20" t="s">
        <v>391</v>
      </c>
      <c r="F137" s="16" t="s">
        <v>392</v>
      </c>
      <c r="G137" s="16" t="s">
        <v>680</v>
      </c>
      <c r="H137" s="16" t="s">
        <v>392</v>
      </c>
      <c r="I137" s="26" t="s">
        <v>681</v>
      </c>
      <c r="J137" s="16">
        <v>50</v>
      </c>
      <c r="K137" s="85">
        <v>19.5</v>
      </c>
      <c r="L137" s="85">
        <v>19.5</v>
      </c>
      <c r="M137" s="34">
        <f t="shared" ref="M137:M143" si="3">ROUND(L137*0.64,2)</f>
        <v>12.48</v>
      </c>
      <c r="N137" s="39">
        <v>12.48</v>
      </c>
      <c r="O137" s="26">
        <v>1</v>
      </c>
      <c r="P137" s="120">
        <v>0.25</v>
      </c>
      <c r="Q137" s="120">
        <f t="shared" si="2"/>
        <v>12.5</v>
      </c>
      <c r="R137" s="54">
        <v>8539500000</v>
      </c>
      <c r="S137" s="55">
        <v>3.6999999999999998E-2</v>
      </c>
      <c r="T137" s="103" t="s">
        <v>682</v>
      </c>
      <c r="U137" s="103">
        <v>14.99</v>
      </c>
      <c r="V137" s="103">
        <v>0.36</v>
      </c>
      <c r="W137" s="135" t="s">
        <v>395</v>
      </c>
    </row>
    <row r="138" spans="1:23" s="3" customFormat="1" ht="18" customHeight="1">
      <c r="A138" s="15">
        <v>136</v>
      </c>
      <c r="B138" s="15" t="s">
        <v>684</v>
      </c>
      <c r="C138" s="24" t="s">
        <v>390</v>
      </c>
      <c r="D138" s="16" t="s">
        <v>679</v>
      </c>
      <c r="E138" s="20" t="s">
        <v>391</v>
      </c>
      <c r="F138" s="16" t="s">
        <v>392</v>
      </c>
      <c r="G138" s="16" t="s">
        <v>680</v>
      </c>
      <c r="H138" s="16" t="s">
        <v>392</v>
      </c>
      <c r="I138" s="26" t="s">
        <v>681</v>
      </c>
      <c r="J138" s="16">
        <v>45</v>
      </c>
      <c r="K138" s="85">
        <v>17.7</v>
      </c>
      <c r="L138" s="85">
        <v>17.7</v>
      </c>
      <c r="M138" s="34">
        <f t="shared" si="3"/>
        <v>11.33</v>
      </c>
      <c r="N138" s="39">
        <v>11.33</v>
      </c>
      <c r="O138" s="26">
        <v>1</v>
      </c>
      <c r="P138" s="120">
        <v>0.25</v>
      </c>
      <c r="Q138" s="120">
        <f t="shared" si="2"/>
        <v>11.25</v>
      </c>
      <c r="R138" s="54">
        <v>8539500000</v>
      </c>
      <c r="S138" s="55">
        <v>3.6999999999999998E-2</v>
      </c>
      <c r="T138" s="103" t="s">
        <v>682</v>
      </c>
      <c r="U138" s="103">
        <v>14.99</v>
      </c>
      <c r="V138" s="103">
        <v>0.36</v>
      </c>
      <c r="W138" s="135" t="s">
        <v>398</v>
      </c>
    </row>
    <row r="139" spans="1:23" s="3" customFormat="1" ht="18" customHeight="1">
      <c r="A139" s="15">
        <v>137</v>
      </c>
      <c r="B139" s="15" t="s">
        <v>685</v>
      </c>
      <c r="C139" s="24" t="s">
        <v>390</v>
      </c>
      <c r="D139" s="16" t="s">
        <v>679</v>
      </c>
      <c r="E139" s="22" t="s">
        <v>391</v>
      </c>
      <c r="F139" s="16" t="s">
        <v>392</v>
      </c>
      <c r="G139" s="16" t="s">
        <v>680</v>
      </c>
      <c r="H139" s="16" t="s">
        <v>392</v>
      </c>
      <c r="I139" s="26" t="s">
        <v>681</v>
      </c>
      <c r="J139" s="16">
        <v>45</v>
      </c>
      <c r="K139" s="39">
        <v>17.7</v>
      </c>
      <c r="L139" s="39">
        <v>17.7</v>
      </c>
      <c r="M139" s="34">
        <f t="shared" si="3"/>
        <v>11.33</v>
      </c>
      <c r="N139" s="39">
        <v>11.33</v>
      </c>
      <c r="O139" s="25">
        <v>1</v>
      </c>
      <c r="P139" s="37">
        <v>0.25</v>
      </c>
      <c r="Q139" s="37">
        <f t="shared" si="2"/>
        <v>11.25</v>
      </c>
      <c r="R139" s="54">
        <v>8539500000</v>
      </c>
      <c r="S139" s="55">
        <v>3.6999999999999998E-2</v>
      </c>
      <c r="T139" s="103" t="s">
        <v>682</v>
      </c>
      <c r="U139" s="103">
        <v>14.99</v>
      </c>
      <c r="V139" s="103">
        <v>0.36</v>
      </c>
      <c r="W139" s="135" t="s">
        <v>398</v>
      </c>
    </row>
    <row r="140" spans="1:23" s="3" customFormat="1" ht="18" customHeight="1">
      <c r="A140" s="15">
        <v>138</v>
      </c>
      <c r="B140" s="15" t="s">
        <v>686</v>
      </c>
      <c r="C140" s="24" t="s">
        <v>390</v>
      </c>
      <c r="D140" s="16" t="s">
        <v>679</v>
      </c>
      <c r="E140" s="22" t="s">
        <v>391</v>
      </c>
      <c r="F140" s="16" t="s">
        <v>392</v>
      </c>
      <c r="G140" s="16" t="s">
        <v>680</v>
      </c>
      <c r="H140" s="16" t="s">
        <v>392</v>
      </c>
      <c r="I140" s="26" t="s">
        <v>681</v>
      </c>
      <c r="J140" s="16">
        <v>45</v>
      </c>
      <c r="K140" s="39">
        <v>17.7</v>
      </c>
      <c r="L140" s="39">
        <v>17.7</v>
      </c>
      <c r="M140" s="34">
        <f t="shared" si="3"/>
        <v>11.33</v>
      </c>
      <c r="N140" s="39">
        <v>11.33</v>
      </c>
      <c r="O140" s="25">
        <v>1</v>
      </c>
      <c r="P140" s="37">
        <v>0.25</v>
      </c>
      <c r="Q140" s="37">
        <f t="shared" si="2"/>
        <v>11.25</v>
      </c>
      <c r="R140" s="54">
        <v>8539500000</v>
      </c>
      <c r="S140" s="55">
        <v>3.6999999999999998E-2</v>
      </c>
      <c r="T140" s="103" t="s">
        <v>682</v>
      </c>
      <c r="U140" s="103">
        <v>14.99</v>
      </c>
      <c r="V140" s="103">
        <v>0.36</v>
      </c>
      <c r="W140" s="135" t="s">
        <v>401</v>
      </c>
    </row>
    <row r="141" spans="1:23" s="3" customFormat="1" ht="18" customHeight="1">
      <c r="A141" s="15">
        <v>139</v>
      </c>
      <c r="B141" s="15" t="s">
        <v>687</v>
      </c>
      <c r="C141" s="24" t="s">
        <v>390</v>
      </c>
      <c r="D141" s="16" t="s">
        <v>679</v>
      </c>
      <c r="E141" s="22" t="s">
        <v>391</v>
      </c>
      <c r="F141" s="16" t="s">
        <v>392</v>
      </c>
      <c r="G141" s="16" t="s">
        <v>680</v>
      </c>
      <c r="H141" s="16" t="s">
        <v>392</v>
      </c>
      <c r="I141" s="26" t="s">
        <v>681</v>
      </c>
      <c r="J141" s="16">
        <v>45</v>
      </c>
      <c r="K141" s="39">
        <v>17.7</v>
      </c>
      <c r="L141" s="39">
        <v>17.7</v>
      </c>
      <c r="M141" s="34">
        <f t="shared" si="3"/>
        <v>11.33</v>
      </c>
      <c r="N141" s="39">
        <v>11.33</v>
      </c>
      <c r="O141" s="25">
        <v>1</v>
      </c>
      <c r="P141" s="37">
        <v>0.25</v>
      </c>
      <c r="Q141" s="37">
        <f t="shared" si="2"/>
        <v>11.25</v>
      </c>
      <c r="R141" s="54">
        <v>8539500000</v>
      </c>
      <c r="S141" s="55">
        <v>3.6999999999999998E-2</v>
      </c>
      <c r="T141" s="103" t="s">
        <v>682</v>
      </c>
      <c r="U141" s="103">
        <v>14.99</v>
      </c>
      <c r="V141" s="103">
        <v>0.36</v>
      </c>
      <c r="W141" s="135" t="s">
        <v>401</v>
      </c>
    </row>
    <row r="142" spans="1:23" s="3" customFormat="1" ht="18" customHeight="1">
      <c r="A142" s="15">
        <v>140</v>
      </c>
      <c r="B142" s="15" t="s">
        <v>688</v>
      </c>
      <c r="C142" s="24" t="s">
        <v>390</v>
      </c>
      <c r="D142" s="16" t="s">
        <v>679</v>
      </c>
      <c r="E142" s="22" t="s">
        <v>391</v>
      </c>
      <c r="F142" s="16" t="s">
        <v>392</v>
      </c>
      <c r="G142" s="16" t="s">
        <v>680</v>
      </c>
      <c r="H142" s="16" t="s">
        <v>392</v>
      </c>
      <c r="I142" s="26" t="s">
        <v>681</v>
      </c>
      <c r="J142" s="16">
        <v>45</v>
      </c>
      <c r="K142" s="39">
        <v>17.7</v>
      </c>
      <c r="L142" s="39">
        <v>17.7</v>
      </c>
      <c r="M142" s="34">
        <f t="shared" si="3"/>
        <v>11.33</v>
      </c>
      <c r="N142" s="39">
        <v>11.33</v>
      </c>
      <c r="O142" s="25">
        <v>1</v>
      </c>
      <c r="P142" s="37">
        <v>0.25</v>
      </c>
      <c r="Q142" s="37">
        <f t="shared" si="2"/>
        <v>11.25</v>
      </c>
      <c r="R142" s="54">
        <v>8539500000</v>
      </c>
      <c r="S142" s="55">
        <v>3.6999999999999998E-2</v>
      </c>
      <c r="T142" s="103" t="s">
        <v>682</v>
      </c>
      <c r="U142" s="103">
        <v>14.99</v>
      </c>
      <c r="V142" s="103">
        <v>0.36</v>
      </c>
      <c r="W142" s="135" t="s">
        <v>404</v>
      </c>
    </row>
    <row r="143" spans="1:23" s="3" customFormat="1" ht="18" customHeight="1">
      <c r="A143" s="15">
        <v>141</v>
      </c>
      <c r="B143" s="15" t="s">
        <v>689</v>
      </c>
      <c r="C143" s="24" t="s">
        <v>390</v>
      </c>
      <c r="D143" s="16" t="s">
        <v>679</v>
      </c>
      <c r="E143" s="22" t="s">
        <v>391</v>
      </c>
      <c r="F143" s="16" t="s">
        <v>392</v>
      </c>
      <c r="G143" s="16" t="s">
        <v>680</v>
      </c>
      <c r="H143" s="16" t="s">
        <v>392</v>
      </c>
      <c r="I143" s="26" t="s">
        <v>681</v>
      </c>
      <c r="J143" s="16">
        <v>45</v>
      </c>
      <c r="K143" s="39">
        <v>17.7</v>
      </c>
      <c r="L143" s="39">
        <v>17.7</v>
      </c>
      <c r="M143" s="34">
        <f t="shared" si="3"/>
        <v>11.33</v>
      </c>
      <c r="N143" s="39">
        <v>11.33</v>
      </c>
      <c r="O143" s="25">
        <v>1</v>
      </c>
      <c r="P143" s="37">
        <v>0.25</v>
      </c>
      <c r="Q143" s="37">
        <f t="shared" si="2"/>
        <v>11.25</v>
      </c>
      <c r="R143" s="54">
        <v>8539500000</v>
      </c>
      <c r="S143" s="55">
        <v>3.6999999999999998E-2</v>
      </c>
      <c r="T143" s="103" t="s">
        <v>682</v>
      </c>
      <c r="U143" s="103">
        <v>14.99</v>
      </c>
      <c r="V143" s="103">
        <v>0.36</v>
      </c>
      <c r="W143" s="135" t="s">
        <v>404</v>
      </c>
    </row>
    <row r="144" spans="1:23" s="3" customFormat="1" ht="18" customHeight="1">
      <c r="A144" s="74"/>
      <c r="B144" s="113" t="s">
        <v>406</v>
      </c>
      <c r="C144" s="113"/>
      <c r="D144" s="16"/>
      <c r="E144" s="113"/>
      <c r="F144" s="113"/>
      <c r="G144" s="113"/>
      <c r="H144" s="114"/>
      <c r="I144" s="121"/>
      <c r="J144" s="122">
        <f t="shared" ref="J144:O144" si="4">SUM(J3:J143)</f>
        <v>6079</v>
      </c>
      <c r="K144" s="123">
        <f t="shared" si="4"/>
        <v>1474.0000000000007</v>
      </c>
      <c r="L144" s="123">
        <f t="shared" si="4"/>
        <v>1220.4399999999998</v>
      </c>
      <c r="M144" s="124">
        <f t="shared" si="4"/>
        <v>1153.4799999999993</v>
      </c>
      <c r="N144" s="124">
        <f t="shared" si="4"/>
        <v>1153.9999999999993</v>
      </c>
      <c r="O144" s="113">
        <f t="shared" si="4"/>
        <v>89</v>
      </c>
      <c r="P144" s="125"/>
      <c r="Q144" s="125">
        <f>SUM(Q3:Q143)</f>
        <v>2456.4699999999975</v>
      </c>
      <c r="R144" s="136"/>
      <c r="S144" s="137"/>
      <c r="T144" s="138"/>
      <c r="U144" s="138"/>
      <c r="V144" s="138"/>
      <c r="W144" s="139"/>
    </row>
    <row r="145" spans="1:23" s="3" customFormat="1" ht="18" customHeight="1">
      <c r="A145" s="4"/>
      <c r="K145" s="3">
        <v>1474</v>
      </c>
      <c r="L145" s="117">
        <v>1154</v>
      </c>
      <c r="M145" s="126">
        <v>1154</v>
      </c>
      <c r="N145" s="126">
        <v>1154</v>
      </c>
      <c r="P145" s="6"/>
      <c r="Q145" s="6"/>
      <c r="S145" s="7"/>
      <c r="T145" s="8"/>
      <c r="U145" s="8"/>
      <c r="V145" s="8"/>
    </row>
    <row r="146" spans="1:23" s="3" customFormat="1" ht="18" customHeight="1">
      <c r="A146" s="4"/>
      <c r="P146" s="6"/>
      <c r="Q146" s="6"/>
      <c r="S146" s="7"/>
      <c r="T146" s="8"/>
      <c r="U146" s="8"/>
      <c r="V146" s="8"/>
    </row>
    <row r="147" spans="1:23" s="3" customFormat="1" ht="18" customHeight="1">
      <c r="A147" s="4"/>
      <c r="I147" s="5"/>
      <c r="P147" s="6"/>
      <c r="Q147" s="6"/>
      <c r="S147" s="7"/>
      <c r="T147" s="8"/>
      <c r="U147" s="8"/>
      <c r="V147" s="8"/>
    </row>
    <row r="148" spans="1:23" s="2" customFormat="1" ht="18" customHeight="1">
      <c r="A148" s="115"/>
      <c r="C148" s="116"/>
      <c r="D148" s="117"/>
      <c r="I148" s="127"/>
      <c r="K148" s="3"/>
      <c r="L148" s="3"/>
      <c r="M148" s="128"/>
      <c r="N148" s="128"/>
      <c r="P148" s="129"/>
      <c r="Q148" s="129"/>
      <c r="S148" s="140"/>
      <c r="T148" s="141"/>
      <c r="U148" s="141"/>
      <c r="V148" s="141"/>
      <c r="W148" s="127"/>
    </row>
    <row r="149" spans="1:23" s="3" customFormat="1" ht="18" customHeight="1">
      <c r="A149" s="4"/>
      <c r="D149" s="117" t="s">
        <v>741</v>
      </c>
      <c r="I149" s="5"/>
      <c r="P149" s="6"/>
      <c r="Q149" s="6"/>
      <c r="S149" s="7"/>
      <c r="T149" s="8"/>
      <c r="U149" s="8"/>
      <c r="V149" s="8"/>
    </row>
    <row r="150" spans="1:23" s="3" customFormat="1" ht="18" customHeight="1">
      <c r="A150" s="4"/>
      <c r="D150" s="117" t="s">
        <v>742</v>
      </c>
      <c r="I150" s="5"/>
      <c r="P150" s="6"/>
      <c r="Q150" s="6"/>
      <c r="S150" s="7"/>
      <c r="T150" s="8"/>
      <c r="U150" s="8"/>
      <c r="V150" s="8"/>
    </row>
    <row r="151" spans="1:23" s="3" customFormat="1" ht="18" customHeight="1">
      <c r="A151" s="4"/>
      <c r="D151" s="117"/>
      <c r="I151" s="5"/>
      <c r="P151" s="6"/>
      <c r="Q151" s="6"/>
      <c r="S151" s="7"/>
      <c r="T151" s="8"/>
      <c r="U151" s="8"/>
      <c r="V151" s="8"/>
    </row>
    <row r="152" spans="1:23" s="3" customFormat="1" ht="18" customHeight="1">
      <c r="A152" s="4"/>
      <c r="D152" s="117" t="s">
        <v>712</v>
      </c>
      <c r="I152" s="5"/>
      <c r="P152" s="6"/>
      <c r="Q152" s="6"/>
      <c r="S152" s="7"/>
      <c r="T152" s="8"/>
      <c r="U152" s="8"/>
      <c r="V152" s="8"/>
    </row>
    <row r="153" spans="1:23" s="3" customFormat="1" ht="18" customHeight="1">
      <c r="A153" s="4"/>
      <c r="D153" s="117" t="s">
        <v>713</v>
      </c>
      <c r="I153" s="5"/>
      <c r="P153" s="6"/>
      <c r="Q153" s="6"/>
      <c r="S153" s="7"/>
      <c r="T153" s="8"/>
      <c r="U153" s="8"/>
      <c r="V153" s="8"/>
    </row>
    <row r="154" spans="1:23" s="3" customFormat="1" ht="18" customHeight="1">
      <c r="A154" s="4"/>
      <c r="D154" s="118" t="s">
        <v>714</v>
      </c>
      <c r="E154" s="118" t="s">
        <v>715</v>
      </c>
      <c r="I154" s="5"/>
      <c r="P154" s="6"/>
      <c r="Q154" s="6"/>
      <c r="S154" s="7"/>
      <c r="T154" s="8"/>
      <c r="U154" s="8"/>
      <c r="V154" s="8"/>
    </row>
    <row r="155" spans="1:23" s="3" customFormat="1" ht="18" customHeight="1">
      <c r="A155" s="4"/>
      <c r="D155" s="119" t="s">
        <v>716</v>
      </c>
      <c r="E155" s="119" t="s">
        <v>717</v>
      </c>
      <c r="I155" s="5"/>
      <c r="P155" s="6"/>
      <c r="Q155" s="6"/>
      <c r="S155" s="7"/>
      <c r="T155" s="8"/>
      <c r="U155" s="8"/>
      <c r="V155" s="8"/>
    </row>
    <row r="156" spans="1:23" s="3" customFormat="1" ht="18" customHeight="1">
      <c r="A156" s="4"/>
      <c r="D156" s="119" t="s">
        <v>718</v>
      </c>
      <c r="E156" s="119" t="s">
        <v>719</v>
      </c>
      <c r="I156" s="5"/>
      <c r="P156" s="6"/>
      <c r="Q156" s="6"/>
      <c r="S156" s="7"/>
      <c r="T156" s="8"/>
      <c r="U156" s="8"/>
      <c r="V156" s="8"/>
    </row>
    <row r="157" spans="1:23" s="3" customFormat="1" ht="18" customHeight="1">
      <c r="A157" s="4"/>
      <c r="D157" s="119" t="s">
        <v>720</v>
      </c>
      <c r="E157" s="119" t="s">
        <v>721</v>
      </c>
      <c r="I157" s="5"/>
      <c r="P157" s="6"/>
      <c r="Q157" s="6"/>
      <c r="S157" s="7"/>
      <c r="T157" s="8"/>
      <c r="U157" s="8"/>
      <c r="V157" s="8"/>
    </row>
    <row r="158" spans="1:23" s="3" customFormat="1" ht="18" customHeight="1">
      <c r="A158" s="4"/>
      <c r="D158" s="119" t="s">
        <v>722</v>
      </c>
      <c r="E158" s="119" t="s">
        <v>723</v>
      </c>
      <c r="I158" s="5"/>
      <c r="P158" s="6"/>
      <c r="Q158" s="6"/>
      <c r="S158" s="7"/>
      <c r="T158" s="8"/>
      <c r="U158" s="8"/>
      <c r="V158" s="8"/>
    </row>
    <row r="159" spans="1:23" s="3" customFormat="1" ht="18" customHeight="1">
      <c r="A159" s="4"/>
      <c r="D159" s="119" t="s">
        <v>724</v>
      </c>
      <c r="E159" s="119" t="s">
        <v>725</v>
      </c>
      <c r="I159" s="5"/>
      <c r="P159" s="6"/>
      <c r="Q159" s="6"/>
      <c r="S159" s="7"/>
      <c r="T159" s="8"/>
      <c r="U159" s="8"/>
      <c r="V159" s="8"/>
    </row>
    <row r="160" spans="1:23" s="3" customFormat="1" ht="18" customHeight="1">
      <c r="A160" s="4"/>
      <c r="D160" s="117"/>
      <c r="I160" s="5"/>
      <c r="P160" s="6"/>
      <c r="Q160" s="6"/>
      <c r="S160" s="7"/>
      <c r="T160" s="8"/>
      <c r="U160" s="8"/>
      <c r="V160" s="8"/>
    </row>
    <row r="161" spans="1:22" s="3" customFormat="1" ht="18" customHeight="1">
      <c r="A161" s="4"/>
      <c r="D161" s="117" t="s">
        <v>726</v>
      </c>
      <c r="I161" s="5"/>
      <c r="P161" s="6"/>
      <c r="Q161" s="6"/>
      <c r="S161" s="7"/>
      <c r="T161" s="8"/>
      <c r="U161" s="8"/>
      <c r="V161" s="8"/>
    </row>
    <row r="162" spans="1:22" s="3" customFormat="1" ht="18" customHeight="1">
      <c r="A162" s="4"/>
      <c r="D162" s="117" t="s">
        <v>727</v>
      </c>
      <c r="I162" s="5"/>
      <c r="P162" s="6"/>
      <c r="Q162" s="6"/>
      <c r="S162" s="7"/>
      <c r="T162" s="8"/>
      <c r="U162" s="8"/>
      <c r="V162" s="8"/>
    </row>
    <row r="163" spans="1:22" s="3" customFormat="1" ht="18" customHeight="1">
      <c r="A163" s="4"/>
      <c r="D163" s="117"/>
      <c r="I163" s="5"/>
      <c r="P163" s="6"/>
      <c r="Q163" s="6"/>
      <c r="S163" s="7"/>
      <c r="T163" s="8"/>
      <c r="U163" s="8"/>
      <c r="V163" s="8"/>
    </row>
    <row r="164" spans="1:22" s="3" customFormat="1" ht="18" customHeight="1">
      <c r="A164" s="4"/>
      <c r="D164" s="117" t="s">
        <v>728</v>
      </c>
      <c r="I164" s="5"/>
      <c r="P164" s="6"/>
      <c r="Q164" s="6"/>
      <c r="S164" s="7"/>
      <c r="T164" s="8"/>
      <c r="U164" s="8"/>
      <c r="V164" s="8"/>
    </row>
    <row r="165" spans="1:22" s="3" customFormat="1" ht="18" customHeight="1">
      <c r="A165" s="4"/>
      <c r="D165" s="117" t="s">
        <v>743</v>
      </c>
      <c r="E165" s="117" t="s">
        <v>744</v>
      </c>
      <c r="I165" s="3">
        <f>1220.44-1154</f>
        <v>66.440000000000055</v>
      </c>
      <c r="P165" s="6"/>
      <c r="Q165" s="6"/>
      <c r="S165" s="7"/>
      <c r="T165" s="8"/>
      <c r="U165" s="8"/>
      <c r="V165" s="8"/>
    </row>
    <row r="166" spans="1:22" s="3" customFormat="1" ht="18" customHeight="1">
      <c r="A166" s="4"/>
      <c r="E166" s="117"/>
      <c r="I166" s="5"/>
      <c r="P166" s="6"/>
      <c r="Q166" s="6"/>
      <c r="S166" s="7"/>
      <c r="T166" s="8"/>
      <c r="U166" s="8"/>
      <c r="V166" s="8"/>
    </row>
    <row r="167" spans="1:22" s="3" customFormat="1" ht="18" customHeight="1">
      <c r="A167" s="4"/>
      <c r="D167" s="117" t="s">
        <v>745</v>
      </c>
      <c r="E167" s="117"/>
      <c r="I167" s="5"/>
      <c r="P167" s="6"/>
      <c r="Q167" s="6"/>
      <c r="S167" s="7"/>
      <c r="T167" s="8"/>
      <c r="U167" s="8"/>
      <c r="V167" s="8"/>
    </row>
    <row r="168" spans="1:22" s="3" customFormat="1" ht="18" customHeight="1">
      <c r="A168" s="4"/>
      <c r="E168" s="117"/>
      <c r="I168" s="5"/>
      <c r="P168" s="6"/>
      <c r="Q168" s="6"/>
      <c r="S168" s="7"/>
      <c r="T168" s="8"/>
      <c r="U168" s="8"/>
      <c r="V168" s="8"/>
    </row>
    <row r="169" spans="1:22" s="3" customFormat="1" ht="18" customHeight="1">
      <c r="A169" s="4"/>
      <c r="D169" s="117" t="s">
        <v>746</v>
      </c>
      <c r="I169" s="130" t="s">
        <v>747</v>
      </c>
      <c r="P169" s="6"/>
      <c r="Q169" s="6"/>
      <c r="S169" s="7"/>
      <c r="T169" s="8"/>
      <c r="U169" s="8"/>
      <c r="V169" s="8"/>
    </row>
    <row r="170" spans="1:22" s="3" customFormat="1" ht="18" customHeight="1">
      <c r="A170" s="4"/>
      <c r="I170" s="5"/>
      <c r="P170" s="6"/>
      <c r="Q170" s="6"/>
      <c r="S170" s="7"/>
      <c r="T170" s="8"/>
      <c r="U170" s="8"/>
      <c r="V170" s="8"/>
    </row>
    <row r="171" spans="1:22" s="3" customFormat="1" ht="18" customHeight="1">
      <c r="A171" s="4"/>
      <c r="D171" s="117" t="s">
        <v>737</v>
      </c>
      <c r="I171" s="5"/>
      <c r="P171" s="6"/>
      <c r="Q171" s="6"/>
      <c r="S171" s="7"/>
      <c r="T171" s="8"/>
      <c r="U171" s="8"/>
      <c r="V171" s="8"/>
    </row>
    <row r="172" spans="1:22" s="3" customFormat="1" ht="18" customHeight="1">
      <c r="A172" s="4"/>
      <c r="D172" s="3" t="s">
        <v>748</v>
      </c>
      <c r="I172" s="5"/>
      <c r="P172" s="6"/>
      <c r="Q172" s="6"/>
      <c r="S172" s="7"/>
      <c r="T172" s="8"/>
      <c r="U172" s="8"/>
      <c r="V172" s="8"/>
    </row>
    <row r="173" spans="1:22" s="3" customFormat="1" ht="18" customHeight="1">
      <c r="A173" s="4"/>
      <c r="D173" s="117" t="s">
        <v>739</v>
      </c>
      <c r="I173" s="5"/>
      <c r="P173" s="6"/>
      <c r="Q173" s="6"/>
      <c r="S173" s="7"/>
      <c r="T173" s="8"/>
      <c r="U173" s="8"/>
      <c r="V173" s="8"/>
    </row>
    <row r="174" spans="1:22" s="3" customFormat="1" ht="18" customHeight="1">
      <c r="A174" s="4"/>
      <c r="D174" s="117" t="s">
        <v>749</v>
      </c>
      <c r="I174" s="5"/>
      <c r="P174" s="6"/>
      <c r="Q174" s="6"/>
      <c r="S174" s="7"/>
      <c r="T174" s="8"/>
      <c r="U174" s="8"/>
      <c r="V174" s="8"/>
    </row>
    <row r="175" spans="1:22" s="3" customFormat="1" ht="18" customHeight="1">
      <c r="A175" s="4"/>
      <c r="I175" s="5"/>
      <c r="P175" s="6"/>
      <c r="Q175" s="6"/>
      <c r="S175" s="7"/>
      <c r="T175" s="8"/>
      <c r="U175" s="8"/>
      <c r="V175" s="8"/>
    </row>
    <row r="176" spans="1:22" s="3" customFormat="1" ht="18" customHeight="1">
      <c r="A176" s="4"/>
      <c r="I176" s="5"/>
      <c r="P176" s="6"/>
      <c r="Q176" s="6"/>
      <c r="S176" s="7"/>
      <c r="T176" s="8"/>
      <c r="U176" s="8"/>
      <c r="V176" s="8"/>
    </row>
    <row r="177" spans="1:22" s="3" customFormat="1" ht="18" customHeight="1">
      <c r="A177" s="4"/>
      <c r="I177" s="5"/>
      <c r="P177" s="6"/>
      <c r="Q177" s="6"/>
      <c r="S177" s="7"/>
      <c r="T177" s="8"/>
      <c r="U177" s="8"/>
      <c r="V177" s="8"/>
    </row>
    <row r="178" spans="1:22" s="3" customFormat="1" ht="18" customHeight="1">
      <c r="A178" s="4"/>
      <c r="I178" s="5"/>
      <c r="P178" s="6"/>
      <c r="Q178" s="6"/>
      <c r="S178" s="7"/>
      <c r="T178" s="8"/>
      <c r="U178" s="8"/>
      <c r="V178" s="8"/>
    </row>
    <row r="179" spans="1:22" s="3" customFormat="1" ht="18" customHeight="1">
      <c r="A179" s="4"/>
      <c r="I179" s="5"/>
      <c r="P179" s="6"/>
      <c r="Q179" s="6"/>
      <c r="S179" s="7"/>
      <c r="T179" s="8"/>
      <c r="U179" s="8"/>
      <c r="V179" s="8"/>
    </row>
    <row r="180" spans="1:22" s="3" customFormat="1" ht="18" customHeight="1">
      <c r="A180" s="4"/>
      <c r="I180" s="5"/>
      <c r="P180" s="6"/>
      <c r="Q180" s="6"/>
      <c r="S180" s="7"/>
      <c r="T180" s="8"/>
      <c r="U180" s="8"/>
      <c r="V180" s="8"/>
    </row>
    <row r="181" spans="1:22" s="3" customFormat="1" ht="18" customHeight="1">
      <c r="A181" s="4"/>
      <c r="I181" s="5"/>
      <c r="P181" s="6"/>
      <c r="Q181" s="6"/>
      <c r="S181" s="7"/>
      <c r="T181" s="8"/>
      <c r="U181" s="8"/>
      <c r="V181" s="8"/>
    </row>
    <row r="182" spans="1:22" s="3" customFormat="1" ht="18" customHeight="1">
      <c r="A182" s="4"/>
      <c r="I182" s="5"/>
      <c r="P182" s="6"/>
      <c r="Q182" s="6"/>
      <c r="S182" s="7"/>
      <c r="T182" s="8"/>
      <c r="U182" s="8"/>
      <c r="V182" s="8"/>
    </row>
    <row r="183" spans="1:22" s="3" customFormat="1" ht="18" customHeight="1">
      <c r="A183" s="4"/>
      <c r="I183" s="5"/>
      <c r="P183" s="6"/>
      <c r="Q183" s="6"/>
      <c r="S183" s="7"/>
      <c r="T183" s="8"/>
      <c r="U183" s="8"/>
      <c r="V183" s="8"/>
    </row>
    <row r="184" spans="1:22" s="3" customFormat="1" ht="18" customHeight="1">
      <c r="A184" s="4"/>
      <c r="I184" s="5"/>
      <c r="P184" s="6"/>
      <c r="Q184" s="6"/>
      <c r="S184" s="7"/>
      <c r="T184" s="8"/>
      <c r="U184" s="8"/>
      <c r="V184" s="8"/>
    </row>
    <row r="185" spans="1:22" s="3" customFormat="1" ht="18" customHeight="1">
      <c r="A185" s="4"/>
      <c r="I185" s="5"/>
      <c r="P185" s="6"/>
      <c r="Q185" s="6"/>
      <c r="S185" s="7"/>
      <c r="T185" s="8"/>
      <c r="U185" s="8"/>
      <c r="V185" s="8"/>
    </row>
    <row r="186" spans="1:22" s="3" customFormat="1" ht="18" customHeight="1">
      <c r="A186" s="4"/>
      <c r="I186" s="5"/>
      <c r="P186" s="6"/>
      <c r="Q186" s="6"/>
      <c r="S186" s="7"/>
      <c r="T186" s="8"/>
      <c r="U186" s="8"/>
      <c r="V186" s="8"/>
    </row>
    <row r="187" spans="1:22" s="3" customFormat="1" ht="18" customHeight="1">
      <c r="A187" s="4"/>
      <c r="I187" s="5"/>
      <c r="P187" s="6"/>
      <c r="Q187" s="6"/>
      <c r="S187" s="7"/>
      <c r="T187" s="8"/>
      <c r="U187" s="8"/>
      <c r="V187" s="8"/>
    </row>
    <row r="188" spans="1:22" s="3" customFormat="1" ht="18" customHeight="1">
      <c r="A188" s="4"/>
      <c r="I188" s="5"/>
      <c r="P188" s="6"/>
      <c r="Q188" s="6"/>
      <c r="S188" s="7"/>
      <c r="T188" s="8"/>
      <c r="U188" s="8"/>
      <c r="V188" s="8"/>
    </row>
    <row r="189" spans="1:22" s="3" customFormat="1" ht="18" customHeight="1">
      <c r="A189" s="4"/>
      <c r="I189" s="5"/>
      <c r="P189" s="6"/>
      <c r="Q189" s="6"/>
      <c r="S189" s="7"/>
      <c r="T189" s="8"/>
      <c r="U189" s="8"/>
      <c r="V189" s="8"/>
    </row>
    <row r="190" spans="1:22" s="3" customFormat="1" ht="18" customHeight="1">
      <c r="A190" s="4"/>
      <c r="I190" s="5"/>
      <c r="P190" s="6"/>
      <c r="Q190" s="6"/>
      <c r="S190" s="7"/>
      <c r="T190" s="8"/>
      <c r="U190" s="8"/>
      <c r="V190" s="8"/>
    </row>
    <row r="191" spans="1:22" s="3" customFormat="1" ht="18" customHeight="1">
      <c r="A191" s="4"/>
      <c r="I191" s="5"/>
      <c r="P191" s="6"/>
      <c r="Q191" s="6"/>
      <c r="S191" s="7"/>
      <c r="T191" s="8"/>
      <c r="U191" s="8"/>
      <c r="V191" s="8"/>
    </row>
    <row r="192" spans="1:22" s="3" customFormat="1" ht="18" customHeight="1">
      <c r="A192" s="4"/>
      <c r="I192" s="5"/>
      <c r="P192" s="6"/>
      <c r="Q192" s="6"/>
      <c r="S192" s="7"/>
      <c r="T192" s="8"/>
      <c r="U192" s="8"/>
      <c r="V192" s="8"/>
    </row>
    <row r="193" spans="1:22" s="3" customFormat="1" ht="18" customHeight="1">
      <c r="A193" s="4"/>
      <c r="I193" s="5"/>
      <c r="P193" s="6"/>
      <c r="Q193" s="6"/>
      <c r="S193" s="7"/>
      <c r="T193" s="8"/>
      <c r="U193" s="8"/>
      <c r="V193" s="8"/>
    </row>
    <row r="194" spans="1:22" s="3" customFormat="1" ht="18" customHeight="1">
      <c r="A194" s="4"/>
      <c r="I194" s="5"/>
      <c r="P194" s="6"/>
      <c r="Q194" s="6"/>
      <c r="S194" s="7"/>
      <c r="T194" s="8"/>
      <c r="U194" s="8"/>
      <c r="V194" s="8"/>
    </row>
  </sheetData>
  <mergeCells count="57">
    <mergeCell ref="C1:E1"/>
    <mergeCell ref="B18:B19"/>
    <mergeCell ref="B20:B21"/>
    <mergeCell ref="B22:B23"/>
    <mergeCell ref="B24:B25"/>
    <mergeCell ref="B26:B27"/>
    <mergeCell ref="B28:B29"/>
    <mergeCell ref="B30:B31"/>
    <mergeCell ref="B32:B33"/>
    <mergeCell ref="B34:B35"/>
    <mergeCell ref="B36:B37"/>
    <mergeCell ref="B39:B40"/>
    <mergeCell ref="B41:B42"/>
    <mergeCell ref="B43:B45"/>
    <mergeCell ref="B46:B48"/>
    <mergeCell ref="B49:B51"/>
    <mergeCell ref="B53:B55"/>
    <mergeCell ref="B57:B59"/>
    <mergeCell ref="B64:B66"/>
    <mergeCell ref="B68:B70"/>
    <mergeCell ref="B73:B74"/>
    <mergeCell ref="B75:B78"/>
    <mergeCell ref="B79:B84"/>
    <mergeCell ref="B85:B89"/>
    <mergeCell ref="B90:B91"/>
    <mergeCell ref="B92:B93"/>
    <mergeCell ref="B94:B100"/>
    <mergeCell ref="B101:B105"/>
    <mergeCell ref="B115:B116"/>
    <mergeCell ref="O18:O19"/>
    <mergeCell ref="O20:O21"/>
    <mergeCell ref="O22:O23"/>
    <mergeCell ref="O24:O25"/>
    <mergeCell ref="O26:O27"/>
    <mergeCell ref="O28:O29"/>
    <mergeCell ref="O30:O31"/>
    <mergeCell ref="O32:O33"/>
    <mergeCell ref="O34:O35"/>
    <mergeCell ref="O36:O37"/>
    <mergeCell ref="O39:O40"/>
    <mergeCell ref="O41:O42"/>
    <mergeCell ref="O43:O45"/>
    <mergeCell ref="O46:O48"/>
    <mergeCell ref="O49:O51"/>
    <mergeCell ref="O53:O55"/>
    <mergeCell ref="O57:O59"/>
    <mergeCell ref="O64:O66"/>
    <mergeCell ref="O68:O70"/>
    <mergeCell ref="O73:O74"/>
    <mergeCell ref="O75:O78"/>
    <mergeCell ref="O79:O84"/>
    <mergeCell ref="O115:O116"/>
    <mergeCell ref="O85:O89"/>
    <mergeCell ref="O90:O91"/>
    <mergeCell ref="O92:O93"/>
    <mergeCell ref="O94:O100"/>
    <mergeCell ref="O101:O105"/>
  </mergeCells>
  <conditionalFormatting sqref="D46">
    <cfRule type="duplicateValues" dxfId="0" priority="1" stopIfTrue="1"/>
  </conditionalFormatting>
  <hyperlinks>
    <hyperlink ref="W19" r:id="rId1" xr:uid="{00000000-0004-0000-0500-000000000000}"/>
    <hyperlink ref="W21" r:id="rId2" xr:uid="{00000000-0004-0000-0500-000001000000}"/>
    <hyperlink ref="W23" r:id="rId3" xr:uid="{00000000-0004-0000-0500-000002000000}"/>
    <hyperlink ref="W25" r:id="rId4" xr:uid="{00000000-0004-0000-0500-000003000000}"/>
    <hyperlink ref="W27" r:id="rId5" xr:uid="{00000000-0004-0000-0500-000004000000}"/>
    <hyperlink ref="W29" r:id="rId6" xr:uid="{00000000-0004-0000-0500-000005000000}"/>
    <hyperlink ref="W31" r:id="rId7" xr:uid="{00000000-0004-0000-0500-000006000000}"/>
    <hyperlink ref="W33" r:id="rId8" xr:uid="{00000000-0004-0000-0500-000007000000}"/>
    <hyperlink ref="W35" r:id="rId9" xr:uid="{00000000-0004-0000-0500-000008000000}"/>
    <hyperlink ref="W37" r:id="rId10" xr:uid="{00000000-0004-0000-0500-000009000000}"/>
    <hyperlink ref="W127" r:id="rId11" xr:uid="{00000000-0004-0000-0500-00000A000000}"/>
    <hyperlink ref="W128" r:id="rId12" xr:uid="{00000000-0004-0000-0500-00000B000000}"/>
    <hyperlink ref="W129" r:id="rId13" xr:uid="{00000000-0004-0000-0500-00000C000000}"/>
    <hyperlink ref="W130" r:id="rId14" xr:uid="{00000000-0004-0000-0500-00000D000000}"/>
    <hyperlink ref="W131" r:id="rId15" xr:uid="{00000000-0004-0000-0500-00000E000000}"/>
    <hyperlink ref="W132" r:id="rId16" xr:uid="{00000000-0004-0000-0500-00000F000000}"/>
    <hyperlink ref="W133" r:id="rId17" xr:uid="{00000000-0004-0000-0500-000010000000}"/>
    <hyperlink ref="W134" r:id="rId18" xr:uid="{00000000-0004-0000-0500-000011000000}"/>
    <hyperlink ref="W135" r:id="rId19" xr:uid="{00000000-0004-0000-0500-000012000000}"/>
    <hyperlink ref="W3" r:id="rId20" xr:uid="{00000000-0004-0000-0500-000013000000}"/>
    <hyperlink ref="W106" r:id="rId21" xr:uid="{00000000-0004-0000-0500-000014000000}"/>
    <hyperlink ref="W18" r:id="rId22" xr:uid="{00000000-0004-0000-0500-000015000000}"/>
    <hyperlink ref="W38" r:id="rId23" xr:uid="{00000000-0004-0000-0500-000016000000}"/>
    <hyperlink ref="W47" r:id="rId24" xr:uid="{00000000-0004-0000-0500-000017000000}"/>
    <hyperlink ref="W71" r:id="rId25" xr:uid="{00000000-0004-0000-0500-000018000000}"/>
    <hyperlink ref="W136" r:id="rId26" xr:uid="{00000000-0004-0000-0500-000019000000}"/>
    <hyperlink ref="W124" r:id="rId27" xr:uid="{00000000-0004-0000-0500-00001A000000}"/>
    <hyperlink ref="W121" r:id="rId28" xr:uid="{00000000-0004-0000-0500-00001B000000}"/>
    <hyperlink ref="W116" r:id="rId29" xr:uid="{00000000-0004-0000-0500-00001C000000}"/>
    <hyperlink ref="W111" r:id="rId30" xr:uid="{00000000-0004-0000-0500-00001D000000}"/>
    <hyperlink ref="W115" r:id="rId31" xr:uid="{00000000-0004-0000-0500-00001E000000}"/>
    <hyperlink ref="W48" r:id="rId32" xr:uid="{00000000-0004-0000-0500-00001F000000}"/>
    <hyperlink ref="W52" r:id="rId33" xr:uid="{00000000-0004-0000-0500-000020000000}"/>
    <hyperlink ref="W56" r:id="rId34" display="https://www.amazon.com/Greencolorful-Camouflage-Childrens-Three-Level-Clothing/dp/B07GNBWXQK/ref=sr_1_fkmr1_2?ie=UTF8&amp;qid=1544433554&amp;sr=8-2-fkmr1&amp;keywords=Army+fan+outdoor+protective+equipment+children%27s+vest+CS+game+clothing+tactical+vest+camouflage+children%27s+wear+camouflage+COS+%28black%29" xr:uid="{00000000-0004-0000-0500-000021000000}"/>
    <hyperlink ref="W40" r:id="rId35" xr:uid="{00000000-0004-0000-0500-000022000000}"/>
    <hyperlink ref="W55" r:id="rId36" xr:uid="{00000000-0004-0000-0500-000023000000}"/>
    <hyperlink ref="W65" r:id="rId37" xr:uid="{00000000-0004-0000-0500-000024000000}"/>
    <hyperlink ref="W100" r:id="rId38" xr:uid="{00000000-0004-0000-0500-000025000000}"/>
    <hyperlink ref="W96" r:id="rId39" xr:uid="{00000000-0004-0000-0500-000026000000}"/>
    <hyperlink ref="W92" r:id="rId40" xr:uid="{00000000-0004-0000-0500-000027000000}"/>
    <hyperlink ref="W78" r:id="rId41" xr:uid="{00000000-0004-0000-0500-000028000000}"/>
    <hyperlink ref="W79" r:id="rId42" xr:uid="{00000000-0004-0000-0500-000029000000}"/>
    <hyperlink ref="W76" r:id="rId43" xr:uid="{00000000-0004-0000-0500-00002A000000}"/>
    <hyperlink ref="W39" r:id="rId44" xr:uid="{00000000-0004-0000-0500-00002B000000}"/>
    <hyperlink ref="W41" r:id="rId45" xr:uid="{00000000-0004-0000-0500-00002C000000}"/>
    <hyperlink ref="W42" r:id="rId46" xr:uid="{00000000-0004-0000-0500-00002D000000}"/>
    <hyperlink ref="W43" r:id="rId47" xr:uid="{00000000-0004-0000-0500-00002E000000}"/>
    <hyperlink ref="W44" r:id="rId48" xr:uid="{00000000-0004-0000-0500-00002F000000}"/>
    <hyperlink ref="W45" r:id="rId49" xr:uid="{00000000-0004-0000-0500-000030000000}"/>
    <hyperlink ref="W46" r:id="rId50" xr:uid="{00000000-0004-0000-0500-000031000000}"/>
    <hyperlink ref="W49" r:id="rId51" xr:uid="{00000000-0004-0000-0500-000032000000}"/>
    <hyperlink ref="W51" r:id="rId52" xr:uid="{00000000-0004-0000-0500-000033000000}"/>
    <hyperlink ref="W53" r:id="rId53" xr:uid="{00000000-0004-0000-0500-000034000000}"/>
    <hyperlink ref="W54" r:id="rId54" xr:uid="{00000000-0004-0000-0500-000035000000}"/>
    <hyperlink ref="W57" r:id="rId55" xr:uid="{00000000-0004-0000-0500-000036000000}"/>
    <hyperlink ref="W59" r:id="rId56" xr:uid="{00000000-0004-0000-0500-000037000000}"/>
    <hyperlink ref="W64" r:id="rId57" xr:uid="{00000000-0004-0000-0500-000038000000}"/>
    <hyperlink ref="W66" r:id="rId58" xr:uid="{00000000-0004-0000-0500-000039000000}"/>
    <hyperlink ref="W69" r:id="rId59" xr:uid="{00000000-0004-0000-0500-00003A000000}"/>
    <hyperlink ref="W74" r:id="rId60" xr:uid="{00000000-0004-0000-0500-00003B000000}"/>
    <hyperlink ref="W80" r:id="rId61" xr:uid="{00000000-0004-0000-0500-00003C000000}"/>
    <hyperlink ref="W81" r:id="rId62" xr:uid="{00000000-0004-0000-0500-00003D000000}"/>
    <hyperlink ref="W82" r:id="rId63" xr:uid="{00000000-0004-0000-0500-00003E000000}"/>
    <hyperlink ref="W84" r:id="rId64" xr:uid="{00000000-0004-0000-0500-00003F000000}"/>
    <hyperlink ref="W85" r:id="rId65" xr:uid="{00000000-0004-0000-0500-000040000000}"/>
    <hyperlink ref="W86" r:id="rId66" xr:uid="{00000000-0004-0000-0500-000041000000}"/>
    <hyperlink ref="W87" r:id="rId67" xr:uid="{00000000-0004-0000-0500-000042000000}"/>
    <hyperlink ref="W88" r:id="rId68" xr:uid="{00000000-0004-0000-0500-000043000000}"/>
    <hyperlink ref="W89" r:id="rId69" xr:uid="{00000000-0004-0000-0500-000044000000}"/>
    <hyperlink ref="W90" r:id="rId70" display="https://www.amazon.co.uk/CampTeck-Lightweight-Portable-Bicycle-Mounting/dp/B075JLJGDB/ref=pd_sbs_21_9?_encoding=UTF8&amp;pd_rd_i=B075JLJGDB&amp;pd_rd_r=7936616c-fe17-11e8-a264-19c21d2ec568&amp;pd_rd_w=NrVGx&amp;pd_rd_wg=WDDcy&amp;pf_rd_p=18edf98b-139a-41ee-bb40-d725dd59d1d3&amp;pf_rd_r=S3BD1ZBTVEWX5RHK4SS7&amp;psc=1&amp;refRID=S3BD1ZBTVEWX5RHK4SS7" xr:uid="{00000000-0004-0000-0500-000045000000}"/>
    <hyperlink ref="W91" r:id="rId71" xr:uid="{00000000-0004-0000-0500-000046000000}"/>
    <hyperlink ref="W93" r:id="rId72" xr:uid="{00000000-0004-0000-0500-000047000000}"/>
    <hyperlink ref="W95" r:id="rId73" xr:uid="{00000000-0004-0000-0500-000048000000}"/>
    <hyperlink ref="W97" r:id="rId74" xr:uid="{00000000-0004-0000-0500-000049000000}"/>
    <hyperlink ref="W98" r:id="rId75" xr:uid="{00000000-0004-0000-0500-00004A000000}"/>
    <hyperlink ref="W99" r:id="rId76" xr:uid="{00000000-0004-0000-0500-00004B000000}"/>
    <hyperlink ref="W104" r:id="rId77" xr:uid="{00000000-0004-0000-0500-00004C000000}"/>
    <hyperlink ref="W101" r:id="rId78" xr:uid="{00000000-0004-0000-0500-00004D000000}"/>
    <hyperlink ref="W102" r:id="rId79" xr:uid="{00000000-0004-0000-0500-00004E000000}"/>
  </hyperlinks>
  <pageMargins left="0.75" right="0.75" top="1" bottom="1" header="0.51180555555555596" footer="0.51180555555555596"/>
  <drawing r:id="rId8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8:S54"/>
  <sheetViews>
    <sheetView topLeftCell="B10" workbookViewId="0">
      <selection activeCell="Y35" sqref="Y35"/>
    </sheetView>
  </sheetViews>
  <sheetFormatPr defaultColWidth="9" defaultRowHeight="15"/>
  <cols>
    <col min="1" max="16384" width="9" style="1"/>
  </cols>
  <sheetData>
    <row r="28" spans="13:19">
      <c r="M28" s="1" t="s">
        <v>750</v>
      </c>
      <c r="S28" s="1" t="s">
        <v>751</v>
      </c>
    </row>
    <row r="49" spans="2:2">
      <c r="B49" s="1" t="s">
        <v>752</v>
      </c>
    </row>
    <row r="50" spans="2:2">
      <c r="B50" s="1" t="s">
        <v>753</v>
      </c>
    </row>
    <row r="52" spans="2:2">
      <c r="B52" s="1" t="s">
        <v>754</v>
      </c>
    </row>
    <row r="54" spans="2:2">
      <c r="B54" s="1" t="s">
        <v>755</v>
      </c>
    </row>
  </sheetData>
  <pageMargins left="0.75" right="0.75" top="1" bottom="1" header="0.51180555555555596" footer="0.51180555555555596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客人原始资料</vt:lpstr>
      <vt:lpstr>A</vt:lpstr>
      <vt:lpstr>B</vt:lpstr>
      <vt:lpstr>C</vt:lpstr>
      <vt:lpstr>D</vt:lpstr>
      <vt:lpstr>E</vt:lpstr>
      <vt:lpstr>流程图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ax-kimmy</dc:creator>
  <cp:lastModifiedBy>Xiaodong Yu</cp:lastModifiedBy>
  <dcterms:created xsi:type="dcterms:W3CDTF">2018-12-17T14:29:10Z</dcterms:created>
  <dcterms:modified xsi:type="dcterms:W3CDTF">2019-01-11T17:33:06Z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  <property fmtid="{D5CDD505-2E9C-101B-9397-08002B2CF9AE}" pid="3" name="KSOReadingLayout">
    <vt:bool>true</vt:bool>
  </property>
</Properties>
</file>